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d7b5996b61f9025b/Desktop/"/>
    </mc:Choice>
  </mc:AlternateContent>
  <xr:revisionPtr revIDLastSave="0" documentId="8_{2B24B149-979C-44BF-929B-23E814E96D6B}" xr6:coauthVersionLast="47" xr6:coauthVersionMax="47" xr10:uidLastSave="{00000000-0000-0000-0000-000000000000}"/>
  <bookViews>
    <workbookView xWindow="-108" yWindow="-108" windowWidth="23256" windowHeight="12456" xr2:uid="{35AAA62F-97CB-494C-A7A0-05CA56427E4B}"/>
  </bookViews>
  <sheets>
    <sheet name="Sheet 1" sheetId="4" r:id="rId1"/>
    <sheet name="Sheet 2" sheetId="14" r:id="rId2"/>
    <sheet name="Dashboard" sheetId="15" r:id="rId3"/>
    <sheet name="Sheet1" sheetId="16" r:id="rId4"/>
    <sheet name="Data" sheetId="1" r:id="rId5"/>
  </sheets>
  <definedNames>
    <definedName name="_xlcn.WorksheetConnection_Book1Table1" hidden="1">Table1[]</definedName>
    <definedName name="_xlcn.WorksheetConnection_Book1Table5" hidden="1">Table5[]</definedName>
    <definedName name="_xlcn.WorksheetConnection_Book1Table61" hidden="1">Table6[]</definedName>
    <definedName name="NativeTimeline_Order_Date">#N/A</definedName>
    <definedName name="Slicer_RegionName">#N/A</definedName>
  </definedNames>
  <calcPr calcId="191029"/>
  <pivotCaches>
    <pivotCache cacheId="8" r:id="rId6"/>
    <pivotCache cacheId="9" r:id="rId7"/>
    <pivotCache cacheId="10" r:id="rId8"/>
  </pivotCaches>
  <fileRecoveryPr repairLoad="1"/>
  <extLst>
    <ext xmlns:x14="http://schemas.microsoft.com/office/spreadsheetml/2009/9/main" uri="{876F7934-8845-4945-9796-88D515C7AA90}">
      <x14:pivotCaches>
        <pivotCache cacheId="11"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5" name="Table5" connection="WorksheetConnection_Book1!Table5"/>
          <x15:modelTable id="Table1" name="Table1" connection="WorksheetConnection_Book1!Table1"/>
          <x15:modelTable id="Table6" name="Table6" connection="WorksheetConnection_Book1!Table6"/>
        </x15:modelTables>
        <x15:modelRelationships>
          <x15:modelRelationship fromTable="Table1" fromColumn="Product ID" toTable="Table5" toColumn="Product Name"/>
        </x15:modelRelationships>
      </x15:dataModel>
    </ext>
  </extLst>
</workbook>
</file>

<file path=xl/calcChain.xml><?xml version="1.0" encoding="utf-8"?>
<calcChain xmlns="http://schemas.openxmlformats.org/spreadsheetml/2006/main">
  <c r="G4" i="1" l="1"/>
  <c r="G5" i="1"/>
  <c r="G6" i="1"/>
  <c r="G7" i="1"/>
  <c r="G8" i="1"/>
  <c r="F5" i="1"/>
  <c r="F6" i="1"/>
  <c r="F7" i="1"/>
  <c r="F8" i="1"/>
  <c r="F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C19285-87DA-4929-84D1-2D23B9EC130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486C3A4-6DB7-4993-AC22-20A043F99313}" name="WorksheetConnection_Book1!Table1" type="102" refreshedVersion="8" minRefreshableVersion="5">
    <extLst>
      <ext xmlns:x15="http://schemas.microsoft.com/office/spreadsheetml/2010/11/main" uri="{DE250136-89BD-433C-8126-D09CA5730AF9}">
        <x15:connection id="Table1">
          <x15:rangePr sourceName="_xlcn.WorksheetConnection_Book1Table1"/>
        </x15:connection>
      </ext>
    </extLst>
  </connection>
  <connection id="3" xr16:uid="{91F1748E-36B7-40FE-8C1B-B0DA7DC00C88}" name="WorksheetConnection_Book1!Table5" type="102" refreshedVersion="8" minRefreshableVersion="5">
    <extLst>
      <ext xmlns:x15="http://schemas.microsoft.com/office/spreadsheetml/2010/11/main" uri="{DE250136-89BD-433C-8126-D09CA5730AF9}">
        <x15:connection id="Table5">
          <x15:rangePr sourceName="_xlcn.WorksheetConnection_Book1Table5"/>
        </x15:connection>
      </ext>
    </extLst>
  </connection>
  <connection id="4" xr16:uid="{85FCE9BC-5796-455A-8D71-089C76029AE4}" name="WorksheetConnection_Book1!Table6" type="102" refreshedVersion="8" minRefreshableVersion="5">
    <extLst>
      <ext xmlns:x15="http://schemas.microsoft.com/office/spreadsheetml/2010/11/main" uri="{DE250136-89BD-433C-8126-D09CA5730AF9}">
        <x15:connection id="Table6">
          <x15:rangePr sourceName="_xlcn.WorksheetConnection_Book1Table61"/>
        </x15:connection>
      </ext>
    </extLst>
  </connection>
</connections>
</file>

<file path=xl/sharedStrings.xml><?xml version="1.0" encoding="utf-8"?>
<sst xmlns="http://schemas.openxmlformats.org/spreadsheetml/2006/main" count="90" uniqueCount="50">
  <si>
    <t>1️⃣ Sales Table</t>
  </si>
  <si>
    <t>Quantity</t>
  </si>
  <si>
    <t>O001</t>
  </si>
  <si>
    <t>P101</t>
  </si>
  <si>
    <t>O002</t>
  </si>
  <si>
    <t>P102</t>
  </si>
  <si>
    <t>O003</t>
  </si>
  <si>
    <t>P103</t>
  </si>
  <si>
    <t>O004</t>
  </si>
  <si>
    <t>O005</t>
  </si>
  <si>
    <t>P104</t>
  </si>
  <si>
    <t>Sales Amount</t>
  </si>
  <si>
    <t>Product ID</t>
  </si>
  <si>
    <t>Order Date</t>
  </si>
  <si>
    <t>Order ID</t>
  </si>
  <si>
    <t>2️⃣ Products Table</t>
  </si>
  <si>
    <t>Category</t>
  </si>
  <si>
    <t>Wireless Mouse</t>
  </si>
  <si>
    <t>Electronics</t>
  </si>
  <si>
    <t>Bluetooth Speaker</t>
  </si>
  <si>
    <t>Office Chair</t>
  </si>
  <si>
    <t>Furniture</t>
  </si>
  <si>
    <t>Study Table</t>
  </si>
  <si>
    <t>3️⃣ Regions Table</t>
  </si>
  <si>
    <t>RegionID</t>
  </si>
  <si>
    <t>RegionName</t>
  </si>
  <si>
    <t>R01</t>
  </si>
  <si>
    <t>North</t>
  </si>
  <si>
    <t>R02</t>
  </si>
  <si>
    <t>South</t>
  </si>
  <si>
    <t>R03</t>
  </si>
  <si>
    <t>East</t>
  </si>
  <si>
    <t>R04</t>
  </si>
  <si>
    <t>West</t>
  </si>
  <si>
    <t>Product Name</t>
  </si>
  <si>
    <t>Month</t>
  </si>
  <si>
    <t>Weekday</t>
  </si>
  <si>
    <t>Sum of Sales Amount</t>
  </si>
  <si>
    <t>Row Labels</t>
  </si>
  <si>
    <t>Feb-2025</t>
  </si>
  <si>
    <t>Jan-2025</t>
  </si>
  <si>
    <t>Mar-2025</t>
  </si>
  <si>
    <t>May-2025</t>
  </si>
  <si>
    <t>Grand Total</t>
  </si>
  <si>
    <t>Sunday</t>
  </si>
  <si>
    <t>Wednesday</t>
  </si>
  <si>
    <t>Friday</t>
  </si>
  <si>
    <t>P105</t>
  </si>
  <si>
    <t>Noise Cancelling Headphones</t>
  </si>
  <si>
    <t>R05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</si>
</sst>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3.5"/>
      <color theme="1"/>
      <name val="Calibri"/>
      <family val="2"/>
      <scheme val="minor"/>
    </font>
    <font>
      <sz val="11"/>
      <color theme="4" tint="-0.249977111117893"/>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6"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15" fontId="0" fillId="0" borderId="0" xfId="0" applyNumberFormat="1" applyAlignment="1">
      <alignment vertical="center" wrapText="1"/>
    </xf>
    <xf numFmtId="14" fontId="0" fillId="0" borderId="0" xfId="0" applyNumberFormat="1" applyAlignment="1">
      <alignment vertical="center" wrapText="1"/>
    </xf>
    <xf numFmtId="0" fontId="0" fillId="0" borderId="0" xfId="0" pivotButton="1"/>
    <xf numFmtId="0" fontId="0" fillId="0" borderId="0" xfId="0" applyAlignment="1">
      <alignment horizontal="left"/>
    </xf>
    <xf numFmtId="0" fontId="3" fillId="2" borderId="0" xfId="0" applyFont="1" applyFill="1"/>
    <xf numFmtId="0" fontId="0" fillId="3" borderId="0" xfId="0" applyFill="1"/>
  </cellXfs>
  <cellStyles count="1">
    <cellStyle name="Normal" xfId="0" builtinId="0"/>
  </cellStyles>
  <dxfs count="18">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yyyy/mm/dd"/>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[CDNG CHHLNGE WEEK 4.xlsx]Sheet 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1'!$B$1</c:f>
              <c:strCache>
                <c:ptCount val="1"/>
                <c:pt idx="0">
                  <c:v>Total</c:v>
                </c:pt>
              </c:strCache>
            </c:strRef>
          </c:tx>
          <c:spPr>
            <a:ln w="28575" cap="rnd">
              <a:solidFill>
                <a:schemeClr val="accent1"/>
              </a:solidFill>
              <a:round/>
            </a:ln>
            <a:effectLst/>
          </c:spPr>
          <c:marker>
            <c:symbol val="none"/>
          </c:marker>
          <c:cat>
            <c:strRef>
              <c:f>'Sheet 1'!$A$2:$A$6</c:f>
              <c:strCache>
                <c:ptCount val="4"/>
                <c:pt idx="0">
                  <c:v>Feb-2025</c:v>
                </c:pt>
                <c:pt idx="1">
                  <c:v>Jan-2025</c:v>
                </c:pt>
                <c:pt idx="2">
                  <c:v>Mar-2025</c:v>
                </c:pt>
                <c:pt idx="3">
                  <c:v>May-2025</c:v>
                </c:pt>
              </c:strCache>
            </c:strRef>
          </c:cat>
          <c:val>
            <c:numRef>
              <c:f>'Sheet 1'!$B$2:$B$6</c:f>
              <c:numCache>
                <c:formatCode>General</c:formatCode>
                <c:ptCount val="4"/>
                <c:pt idx="0">
                  <c:v>2500</c:v>
                </c:pt>
                <c:pt idx="1">
                  <c:v>6100</c:v>
                </c:pt>
                <c:pt idx="2">
                  <c:v>3000</c:v>
                </c:pt>
                <c:pt idx="3">
                  <c:v>800</c:v>
                </c:pt>
              </c:numCache>
            </c:numRef>
          </c:val>
          <c:smooth val="0"/>
          <c:extLst>
            <c:ext xmlns:c16="http://schemas.microsoft.com/office/drawing/2014/chart" uri="{C3380CC4-5D6E-409C-BE32-E72D297353CC}">
              <c16:uniqueId val="{00000000-C4A6-44AF-818F-2FECD39A2E3E}"/>
            </c:ext>
          </c:extLst>
        </c:ser>
        <c:dLbls>
          <c:showLegendKey val="0"/>
          <c:showVal val="0"/>
          <c:showCatName val="0"/>
          <c:showSerName val="0"/>
          <c:showPercent val="0"/>
          <c:showBubbleSize val="0"/>
        </c:dLbls>
        <c:smooth val="0"/>
        <c:axId val="17151200"/>
        <c:axId val="1966620304"/>
      </c:lineChart>
      <c:catAx>
        <c:axId val="1715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620304"/>
        <c:crosses val="autoZero"/>
        <c:auto val="1"/>
        <c:lblAlgn val="ctr"/>
        <c:lblOffset val="100"/>
        <c:noMultiLvlLbl val="0"/>
      </c:catAx>
      <c:valAx>
        <c:axId val="196662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[CDNG CHHLNGE WEEK 4.xlsx]Sheet 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1'!$B$22</c:f>
              <c:strCache>
                <c:ptCount val="1"/>
                <c:pt idx="0">
                  <c:v>Total</c:v>
                </c:pt>
              </c:strCache>
            </c:strRef>
          </c:tx>
          <c:spPr>
            <a:solidFill>
              <a:schemeClr val="accent1"/>
            </a:solidFill>
            <a:ln>
              <a:noFill/>
            </a:ln>
            <a:effectLst/>
          </c:spPr>
          <c:invertIfNegative val="0"/>
          <c:cat>
            <c:strRef>
              <c:f>'Sheet 1'!$A$23:$A$26</c:f>
              <c:strCache>
                <c:ptCount val="3"/>
                <c:pt idx="0">
                  <c:v>Sunday</c:v>
                </c:pt>
                <c:pt idx="1">
                  <c:v>Wednesday</c:v>
                </c:pt>
                <c:pt idx="2">
                  <c:v>Friday</c:v>
                </c:pt>
              </c:strCache>
            </c:strRef>
          </c:cat>
          <c:val>
            <c:numRef>
              <c:f>'Sheet 1'!$B$23:$B$26</c:f>
              <c:numCache>
                <c:formatCode>General</c:formatCode>
                <c:ptCount val="3"/>
                <c:pt idx="0">
                  <c:v>3300</c:v>
                </c:pt>
                <c:pt idx="1">
                  <c:v>4600</c:v>
                </c:pt>
                <c:pt idx="2">
                  <c:v>4500</c:v>
                </c:pt>
              </c:numCache>
            </c:numRef>
          </c:val>
          <c:extLst>
            <c:ext xmlns:c16="http://schemas.microsoft.com/office/drawing/2014/chart" uri="{C3380CC4-5D6E-409C-BE32-E72D297353CC}">
              <c16:uniqueId val="{00000000-8672-4F2A-A13F-50DD2E4689CF}"/>
            </c:ext>
          </c:extLst>
        </c:ser>
        <c:dLbls>
          <c:showLegendKey val="0"/>
          <c:showVal val="0"/>
          <c:showCatName val="0"/>
          <c:showSerName val="0"/>
          <c:showPercent val="0"/>
          <c:showBubbleSize val="0"/>
        </c:dLbls>
        <c:gapWidth val="219"/>
        <c:axId val="222894096"/>
        <c:axId val="222892656"/>
      </c:barChart>
      <c:catAx>
        <c:axId val="22289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892656"/>
        <c:crosses val="autoZero"/>
        <c:auto val="1"/>
        <c:lblAlgn val="ctr"/>
        <c:lblOffset val="100"/>
        <c:noMultiLvlLbl val="0"/>
      </c:catAx>
      <c:valAx>
        <c:axId val="22289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89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[CDNG CHHLNGE WEEK 4.xlsx]Sheet 2!PivotTable13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 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49-4323-BA25-80BF6DE5DC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49-4323-BA25-80BF6DE5DC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49-4323-BA25-80BF6DE5DC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49-4323-BA25-80BF6DE5DCAF}"/>
              </c:ext>
            </c:extLst>
          </c:dPt>
          <c:cat>
            <c:strRef>
              <c:f>'Sheet 2'!$A$4:$A$8</c:f>
              <c:strCache>
                <c:ptCount val="4"/>
                <c:pt idx="0">
                  <c:v>East</c:v>
                </c:pt>
                <c:pt idx="1">
                  <c:v>North</c:v>
                </c:pt>
                <c:pt idx="2">
                  <c:v>South</c:v>
                </c:pt>
                <c:pt idx="3">
                  <c:v>West</c:v>
                </c:pt>
              </c:strCache>
            </c:strRef>
          </c:cat>
          <c:val>
            <c:numRef>
              <c:f>'Sheet 2'!$B$4:$B$8</c:f>
              <c:numCache>
                <c:formatCode>General</c:formatCode>
                <c:ptCount val="4"/>
                <c:pt idx="0">
                  <c:v>12400</c:v>
                </c:pt>
                <c:pt idx="1">
                  <c:v>12400</c:v>
                </c:pt>
                <c:pt idx="2">
                  <c:v>12400</c:v>
                </c:pt>
                <c:pt idx="3">
                  <c:v>12400</c:v>
                </c:pt>
              </c:numCache>
            </c:numRef>
          </c:val>
          <c:extLst>
            <c:ext xmlns:c16="http://schemas.microsoft.com/office/drawing/2014/chart" uri="{C3380CC4-5D6E-409C-BE32-E72D297353CC}">
              <c16:uniqueId val="{00000000-8045-4244-8D09-8F4BAA80E4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[CDNG CHHLNGE WEEK 4.xlsx]Sheet 1!PivotTable2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1'!$B$1</c:f>
              <c:strCache>
                <c:ptCount val="1"/>
                <c:pt idx="0">
                  <c:v>Total</c:v>
                </c:pt>
              </c:strCache>
            </c:strRef>
          </c:tx>
          <c:spPr>
            <a:ln w="28575" cap="rnd">
              <a:solidFill>
                <a:schemeClr val="accent1"/>
              </a:solidFill>
              <a:round/>
            </a:ln>
            <a:effectLst/>
          </c:spPr>
          <c:marker>
            <c:symbol val="none"/>
          </c:marker>
          <c:cat>
            <c:strRef>
              <c:f>'Sheet 1'!$A$2:$A$6</c:f>
              <c:strCache>
                <c:ptCount val="4"/>
                <c:pt idx="0">
                  <c:v>Feb-2025</c:v>
                </c:pt>
                <c:pt idx="1">
                  <c:v>Jan-2025</c:v>
                </c:pt>
                <c:pt idx="2">
                  <c:v>Mar-2025</c:v>
                </c:pt>
                <c:pt idx="3">
                  <c:v>May-2025</c:v>
                </c:pt>
              </c:strCache>
            </c:strRef>
          </c:cat>
          <c:val>
            <c:numRef>
              <c:f>'Sheet 1'!$B$2:$B$6</c:f>
              <c:numCache>
                <c:formatCode>General</c:formatCode>
                <c:ptCount val="4"/>
                <c:pt idx="0">
                  <c:v>2500</c:v>
                </c:pt>
                <c:pt idx="1">
                  <c:v>6100</c:v>
                </c:pt>
                <c:pt idx="2">
                  <c:v>3000</c:v>
                </c:pt>
                <c:pt idx="3">
                  <c:v>800</c:v>
                </c:pt>
              </c:numCache>
            </c:numRef>
          </c:val>
          <c:smooth val="0"/>
          <c:extLst>
            <c:ext xmlns:c16="http://schemas.microsoft.com/office/drawing/2014/chart" uri="{C3380CC4-5D6E-409C-BE32-E72D297353CC}">
              <c16:uniqueId val="{00000000-79A6-42DF-ACB1-3BF5EA7080CE}"/>
            </c:ext>
          </c:extLst>
        </c:ser>
        <c:dLbls>
          <c:showLegendKey val="0"/>
          <c:showVal val="0"/>
          <c:showCatName val="0"/>
          <c:showSerName val="0"/>
          <c:showPercent val="0"/>
          <c:showBubbleSize val="0"/>
        </c:dLbls>
        <c:smooth val="0"/>
        <c:axId val="17151200"/>
        <c:axId val="1966620304"/>
      </c:lineChart>
      <c:catAx>
        <c:axId val="1715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620304"/>
        <c:crosses val="autoZero"/>
        <c:auto val="1"/>
        <c:lblAlgn val="ctr"/>
        <c:lblOffset val="100"/>
        <c:noMultiLvlLbl val="0"/>
      </c:catAx>
      <c:valAx>
        <c:axId val="196662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[CDNG CHHLNGE WEEK 4.xlsx]Sheet 1!PivotTable3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1'!$B$22</c:f>
              <c:strCache>
                <c:ptCount val="1"/>
                <c:pt idx="0">
                  <c:v>Total</c:v>
                </c:pt>
              </c:strCache>
            </c:strRef>
          </c:tx>
          <c:spPr>
            <a:solidFill>
              <a:schemeClr val="accent1"/>
            </a:solidFill>
            <a:ln>
              <a:noFill/>
            </a:ln>
            <a:effectLst/>
          </c:spPr>
          <c:invertIfNegative val="0"/>
          <c:cat>
            <c:strRef>
              <c:f>'Sheet 1'!$A$23:$A$26</c:f>
              <c:strCache>
                <c:ptCount val="3"/>
                <c:pt idx="0">
                  <c:v>Sunday</c:v>
                </c:pt>
                <c:pt idx="1">
                  <c:v>Wednesday</c:v>
                </c:pt>
                <c:pt idx="2">
                  <c:v>Friday</c:v>
                </c:pt>
              </c:strCache>
            </c:strRef>
          </c:cat>
          <c:val>
            <c:numRef>
              <c:f>'Sheet 1'!$B$23:$B$26</c:f>
              <c:numCache>
                <c:formatCode>General</c:formatCode>
                <c:ptCount val="3"/>
                <c:pt idx="0">
                  <c:v>3300</c:v>
                </c:pt>
                <c:pt idx="1">
                  <c:v>4600</c:v>
                </c:pt>
                <c:pt idx="2">
                  <c:v>4500</c:v>
                </c:pt>
              </c:numCache>
            </c:numRef>
          </c:val>
          <c:extLst>
            <c:ext xmlns:c16="http://schemas.microsoft.com/office/drawing/2014/chart" uri="{C3380CC4-5D6E-409C-BE32-E72D297353CC}">
              <c16:uniqueId val="{00000000-A862-4072-8FB1-99E584C96DC0}"/>
            </c:ext>
          </c:extLst>
        </c:ser>
        <c:dLbls>
          <c:showLegendKey val="0"/>
          <c:showVal val="0"/>
          <c:showCatName val="0"/>
          <c:showSerName val="0"/>
          <c:showPercent val="0"/>
          <c:showBubbleSize val="0"/>
        </c:dLbls>
        <c:gapWidth val="219"/>
        <c:axId val="222894096"/>
        <c:axId val="222892656"/>
      </c:barChart>
      <c:catAx>
        <c:axId val="22289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892656"/>
        <c:crosses val="autoZero"/>
        <c:auto val="1"/>
        <c:lblAlgn val="ctr"/>
        <c:lblOffset val="100"/>
        <c:noMultiLvlLbl val="0"/>
      </c:catAx>
      <c:valAx>
        <c:axId val="22289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89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[CDNG CHHLNGE WEEK 4.xlsx]Sheet 2!PivotTable13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 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E2-48F5-A436-AD095FA9CD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E2-48F5-A436-AD095FA9CD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E2-48F5-A436-AD095FA9CD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E2-48F5-A436-AD095FA9CD18}"/>
              </c:ext>
            </c:extLst>
          </c:dPt>
          <c:cat>
            <c:strRef>
              <c:f>'Sheet 2'!$A$4:$A$8</c:f>
              <c:strCache>
                <c:ptCount val="4"/>
                <c:pt idx="0">
                  <c:v>East</c:v>
                </c:pt>
                <c:pt idx="1">
                  <c:v>North</c:v>
                </c:pt>
                <c:pt idx="2">
                  <c:v>South</c:v>
                </c:pt>
                <c:pt idx="3">
                  <c:v>West</c:v>
                </c:pt>
              </c:strCache>
            </c:strRef>
          </c:cat>
          <c:val>
            <c:numRef>
              <c:f>'Sheet 2'!$B$4:$B$8</c:f>
              <c:numCache>
                <c:formatCode>General</c:formatCode>
                <c:ptCount val="4"/>
                <c:pt idx="0">
                  <c:v>12400</c:v>
                </c:pt>
                <c:pt idx="1">
                  <c:v>12400</c:v>
                </c:pt>
                <c:pt idx="2">
                  <c:v>12400</c:v>
                </c:pt>
                <c:pt idx="3">
                  <c:v>12400</c:v>
                </c:pt>
              </c:numCache>
            </c:numRef>
          </c:val>
          <c:extLst>
            <c:ext xmlns:c16="http://schemas.microsoft.com/office/drawing/2014/chart" uri="{C3380CC4-5D6E-409C-BE32-E72D297353CC}">
              <c16:uniqueId val="{00000008-5EE2-48F5-A436-AD095FA9CD1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601BA7A2-0723-5614-5AE8-38A9CEC31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548640</xdr:colOff>
      <xdr:row>4</xdr:row>
      <xdr:rowOff>0</xdr:rowOff>
    </xdr:from>
    <xdr:to>
      <xdr:col>17</xdr:col>
      <xdr:colOff>228600</xdr:colOff>
      <xdr:row>11</xdr:row>
      <xdr:rowOff>91440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EA4609A0-DD26-387C-A25E-50F895C9BDD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214360" y="731520"/>
              <a:ext cx="3337560" cy="1371600"/>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xdr:from>
      <xdr:col>3</xdr:col>
      <xdr:colOff>525780</xdr:colOff>
      <xdr:row>19</xdr:row>
      <xdr:rowOff>38100</xdr:rowOff>
    </xdr:from>
    <xdr:to>
      <xdr:col>11</xdr:col>
      <xdr:colOff>220980</xdr:colOff>
      <xdr:row>34</xdr:row>
      <xdr:rowOff>38100</xdr:rowOff>
    </xdr:to>
    <xdr:graphicFrame macro="">
      <xdr:nvGraphicFramePr>
        <xdr:cNvPr id="4" name="Chart 3">
          <a:extLst>
            <a:ext uri="{FF2B5EF4-FFF2-40B4-BE49-F238E27FC236}">
              <a16:creationId xmlns:a16="http://schemas.microsoft.com/office/drawing/2014/main" id="{2E43C821-AC7A-D896-B8EB-9C0E541B3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556260</xdr:colOff>
      <xdr:row>18</xdr:row>
      <xdr:rowOff>167640</xdr:rowOff>
    </xdr:from>
    <xdr:to>
      <xdr:col>17</xdr:col>
      <xdr:colOff>236220</xdr:colOff>
      <xdr:row>26</xdr:row>
      <xdr:rowOff>76200</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81C8D2FA-00C3-A3B8-6B4D-EEFCAD377253}"/>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8221980" y="3459480"/>
              <a:ext cx="3337560" cy="1371600"/>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6</xdr:row>
      <xdr:rowOff>0</xdr:rowOff>
    </xdr:from>
    <xdr:to>
      <xdr:col>11</xdr:col>
      <xdr:colOff>38100</xdr:colOff>
      <xdr:row>21</xdr:row>
      <xdr:rowOff>0</xdr:rowOff>
    </xdr:to>
    <xdr:graphicFrame macro="">
      <xdr:nvGraphicFramePr>
        <xdr:cNvPr id="2" name="Chart 1">
          <a:extLst>
            <a:ext uri="{FF2B5EF4-FFF2-40B4-BE49-F238E27FC236}">
              <a16:creationId xmlns:a16="http://schemas.microsoft.com/office/drawing/2014/main" id="{9A34F526-1534-CF42-1C1C-725AEEA56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6</xdr:row>
      <xdr:rowOff>175260</xdr:rowOff>
    </xdr:from>
    <xdr:to>
      <xdr:col>15</xdr:col>
      <xdr:colOff>0</xdr:colOff>
      <xdr:row>20</xdr:row>
      <xdr:rowOff>81915</xdr:rowOff>
    </xdr:to>
    <mc:AlternateContent xmlns:mc="http://schemas.openxmlformats.org/markup-compatibility/2006" xmlns:a14="http://schemas.microsoft.com/office/drawing/2010/main">
      <mc:Choice Requires="a14">
        <xdr:graphicFrame macro="">
          <xdr:nvGraphicFramePr>
            <xdr:cNvPr id="3" name="RegionName">
              <a:extLst>
                <a:ext uri="{FF2B5EF4-FFF2-40B4-BE49-F238E27FC236}">
                  <a16:creationId xmlns:a16="http://schemas.microsoft.com/office/drawing/2014/main" id="{029F7EAC-0C25-C57B-654F-07FDE2A1F7B7}"/>
                </a:ext>
              </a:extLst>
            </xdr:cNvPr>
            <xdr:cNvGraphicFramePr/>
          </xdr:nvGraphicFramePr>
          <xdr:xfrm>
            <a:off x="0" y="0"/>
            <a:ext cx="0" cy="0"/>
          </xdr:xfrm>
          <a:graphic>
            <a:graphicData uri="http://schemas.microsoft.com/office/drawing/2010/slicer">
              <sle:slicer xmlns:sle="http://schemas.microsoft.com/office/drawing/2010/slicer" name="RegionName"/>
            </a:graphicData>
          </a:graphic>
        </xdr:graphicFrame>
      </mc:Choice>
      <mc:Fallback xmlns="">
        <xdr:sp macro="" textlink="">
          <xdr:nvSpPr>
            <xdr:cNvPr id="0" name=""/>
            <xdr:cNvSpPr>
              <a:spLocks noTextEdit="1"/>
            </xdr:cNvSpPr>
          </xdr:nvSpPr>
          <xdr:spPr>
            <a:xfrm>
              <a:off x="8275320" y="1272540"/>
              <a:ext cx="1828800" cy="24669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335280</xdr:colOff>
      <xdr:row>0</xdr:row>
      <xdr:rowOff>137160</xdr:rowOff>
    </xdr:from>
    <xdr:to>
      <xdr:col>9</xdr:col>
      <xdr:colOff>259080</xdr:colOff>
      <xdr:row>9</xdr:row>
      <xdr:rowOff>53340</xdr:rowOff>
    </xdr:to>
    <xdr:graphicFrame macro="">
      <xdr:nvGraphicFramePr>
        <xdr:cNvPr id="2" name="Chart 1">
          <a:extLst>
            <a:ext uri="{FF2B5EF4-FFF2-40B4-BE49-F238E27FC236}">
              <a16:creationId xmlns:a16="http://schemas.microsoft.com/office/drawing/2014/main" id="{AF05C70F-AD91-4727-8D75-4C97D9C47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xdr:row>
      <xdr:rowOff>0</xdr:rowOff>
    </xdr:from>
    <xdr:to>
      <xdr:col>15</xdr:col>
      <xdr:colOff>457200</xdr:colOff>
      <xdr:row>7</xdr:row>
      <xdr:rowOff>45720</xdr:rowOff>
    </xdr:to>
    <mc:AlternateContent xmlns:mc="http://schemas.openxmlformats.org/markup-compatibility/2006" xmlns:tsle="http://schemas.microsoft.com/office/drawing/2012/timeslicer">
      <mc:Choice Requires="tsle">
        <xdr:graphicFrame macro="">
          <xdr:nvGraphicFramePr>
            <xdr:cNvPr id="3" name="Order Date 2">
              <a:extLst>
                <a:ext uri="{FF2B5EF4-FFF2-40B4-BE49-F238E27FC236}">
                  <a16:creationId xmlns:a16="http://schemas.microsoft.com/office/drawing/2014/main" id="{9FEC4819-0EF1-48E4-AA8E-58AFB34682BD}"/>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9364980" y="182880"/>
              <a:ext cx="3505200" cy="1143000"/>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xdr:from>
      <xdr:col>3</xdr:col>
      <xdr:colOff>312420</xdr:colOff>
      <xdr:row>11</xdr:row>
      <xdr:rowOff>144780</xdr:rowOff>
    </xdr:from>
    <xdr:to>
      <xdr:col>9</xdr:col>
      <xdr:colOff>350520</xdr:colOff>
      <xdr:row>20</xdr:row>
      <xdr:rowOff>99060</xdr:rowOff>
    </xdr:to>
    <xdr:graphicFrame macro="">
      <xdr:nvGraphicFramePr>
        <xdr:cNvPr id="4" name="Chart 3">
          <a:extLst>
            <a:ext uri="{FF2B5EF4-FFF2-40B4-BE49-F238E27FC236}">
              <a16:creationId xmlns:a16="http://schemas.microsoft.com/office/drawing/2014/main" id="{FB479612-799D-4B77-B2C0-360C49F7E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12</xdr:row>
      <xdr:rowOff>0</xdr:rowOff>
    </xdr:from>
    <xdr:to>
      <xdr:col>15</xdr:col>
      <xdr:colOff>525780</xdr:colOff>
      <xdr:row>18</xdr:row>
      <xdr:rowOff>45720</xdr:rowOff>
    </xdr:to>
    <mc:AlternateContent xmlns:mc="http://schemas.openxmlformats.org/markup-compatibility/2006" xmlns:tsle="http://schemas.microsoft.com/office/drawing/2012/timeslicer">
      <mc:Choice Requires="tsle">
        <xdr:graphicFrame macro="">
          <xdr:nvGraphicFramePr>
            <xdr:cNvPr id="6" name="Order Date 3">
              <a:extLst>
                <a:ext uri="{FF2B5EF4-FFF2-40B4-BE49-F238E27FC236}">
                  <a16:creationId xmlns:a16="http://schemas.microsoft.com/office/drawing/2014/main" id="{7B61290E-D92A-454E-AAB4-164FC2D2B683}"/>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9364980" y="2194560"/>
              <a:ext cx="3573780" cy="1143000"/>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xdr:from>
      <xdr:col>3</xdr:col>
      <xdr:colOff>251460</xdr:colOff>
      <xdr:row>24</xdr:row>
      <xdr:rowOff>60960</xdr:rowOff>
    </xdr:from>
    <xdr:to>
      <xdr:col>9</xdr:col>
      <xdr:colOff>464820</xdr:colOff>
      <xdr:row>33</xdr:row>
      <xdr:rowOff>7620</xdr:rowOff>
    </xdr:to>
    <xdr:graphicFrame macro="">
      <xdr:nvGraphicFramePr>
        <xdr:cNvPr id="7" name="Chart 6">
          <a:extLst>
            <a:ext uri="{FF2B5EF4-FFF2-40B4-BE49-F238E27FC236}">
              <a16:creationId xmlns:a16="http://schemas.microsoft.com/office/drawing/2014/main" id="{0F2CD032-6891-4910-9CB3-3F3DA09A4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25</xdr:row>
      <xdr:rowOff>7620</xdr:rowOff>
    </xdr:from>
    <xdr:to>
      <xdr:col>0</xdr:col>
      <xdr:colOff>2903220</xdr:colOff>
      <xdr:row>39</xdr:row>
      <xdr:rowOff>5715</xdr:rowOff>
    </xdr:to>
    <mc:AlternateContent xmlns:mc="http://schemas.openxmlformats.org/markup-compatibility/2006" xmlns:a14="http://schemas.microsoft.com/office/drawing/2010/main">
      <mc:Choice Requires="a14">
        <xdr:graphicFrame macro="">
          <xdr:nvGraphicFramePr>
            <xdr:cNvPr id="8" name="RegionName 1">
              <a:extLst>
                <a:ext uri="{FF2B5EF4-FFF2-40B4-BE49-F238E27FC236}">
                  <a16:creationId xmlns:a16="http://schemas.microsoft.com/office/drawing/2014/main" id="{BABBDAD8-95D6-4D83-978F-745797306462}"/>
                </a:ext>
              </a:extLst>
            </xdr:cNvPr>
            <xdr:cNvGraphicFramePr/>
          </xdr:nvGraphicFramePr>
          <xdr:xfrm>
            <a:off x="0" y="0"/>
            <a:ext cx="0" cy="0"/>
          </xdr:xfrm>
          <a:graphic>
            <a:graphicData uri="http://schemas.microsoft.com/office/drawing/2010/slicer">
              <sle:slicer xmlns:sle="http://schemas.microsoft.com/office/drawing/2010/slicer" name="RegionName 1"/>
            </a:graphicData>
          </a:graphic>
        </xdr:graphicFrame>
      </mc:Choice>
      <mc:Fallback xmlns="">
        <xdr:sp macro="" textlink="">
          <xdr:nvSpPr>
            <xdr:cNvPr id="0" name=""/>
            <xdr:cNvSpPr>
              <a:spLocks noTextEdit="1"/>
            </xdr:cNvSpPr>
          </xdr:nvSpPr>
          <xdr:spPr>
            <a:xfrm>
              <a:off x="0" y="4579620"/>
              <a:ext cx="2903220" cy="255841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114300</xdr:rowOff>
    </xdr:from>
    <xdr:to>
      <xdr:col>20</xdr:col>
      <xdr:colOff>525780</xdr:colOff>
      <xdr:row>80</xdr:row>
      <xdr:rowOff>121920</xdr:rowOff>
    </xdr:to>
    <xdr:sp macro="" textlink="">
      <xdr:nvSpPr>
        <xdr:cNvPr id="2" name="TextBox 1">
          <a:extLst>
            <a:ext uri="{FF2B5EF4-FFF2-40B4-BE49-F238E27FC236}">
              <a16:creationId xmlns:a16="http://schemas.microsoft.com/office/drawing/2014/main" id="{3B627F09-7AB6-28DA-5B44-BD0F523D83E6}"/>
            </a:ext>
          </a:extLst>
        </xdr:cNvPr>
        <xdr:cNvSpPr txBox="1"/>
      </xdr:nvSpPr>
      <xdr:spPr>
        <a:xfrm>
          <a:off x="129540" y="114300"/>
          <a:ext cx="12588240" cy="14638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b="1"/>
            <a:t>1. Using Date &amp; Time Functions for Time-Based Insights</a:t>
          </a:r>
        </a:p>
        <a:p>
          <a:endParaRPr lang="en-CA" b="1"/>
        </a:p>
        <a:p>
          <a:r>
            <a:rPr lang="en-CA" b="1"/>
            <a:t> What I do</a:t>
          </a:r>
        </a:p>
        <a:p>
          <a:r>
            <a:rPr lang="en-CA"/>
            <a:t>I derive additional time fields from the Order Date to analyze trends over time.</a:t>
          </a:r>
        </a:p>
        <a:p>
          <a:r>
            <a:rPr lang="en-CA" b="1"/>
            <a:t> Functions Used</a:t>
          </a:r>
        </a:p>
        <a:p>
          <a:r>
            <a:rPr lang="en-CA" b="1"/>
            <a:t>MONTH / YEAR / TEXT</a:t>
          </a:r>
          <a:endParaRPr lang="en-CA"/>
        </a:p>
        <a:p>
          <a:pPr rtl="0"/>
          <a:r>
            <a:rPr lang="en-CA" sz="1100">
              <a:solidFill>
                <a:schemeClr val="dk1"/>
              </a:solidFill>
              <a:latin typeface="+mn-lt"/>
              <a:ea typeface="+mn-ea"/>
              <a:cs typeface="+mn-cs"/>
            </a:rPr>
            <a:t>=TEXT(OrderDate,"MMM-YYYY")</a:t>
          </a:r>
        </a:p>
        <a:p>
          <a:r>
            <a:rPr lang="en-CA" b="1"/>
            <a:t>WEEKDAY</a:t>
          </a:r>
          <a:endParaRPr lang="en-CA"/>
        </a:p>
        <a:p>
          <a:pPr rtl="0"/>
          <a:r>
            <a:rPr lang="en-CA" sz="1100">
              <a:solidFill>
                <a:schemeClr val="dk1"/>
              </a:solidFill>
              <a:latin typeface="+mn-lt"/>
              <a:ea typeface="+mn-ea"/>
              <a:cs typeface="+mn-cs"/>
            </a:rPr>
            <a:t>=TEXT(OrderDate,"dddd")</a:t>
          </a:r>
        </a:p>
        <a:p>
          <a:r>
            <a:rPr lang="en-CA" b="1"/>
            <a:t> Why I use them</a:t>
          </a:r>
        </a:p>
        <a:p>
          <a:r>
            <a:rPr lang="en-CA"/>
            <a:t>Converts raw dates into </a:t>
          </a:r>
          <a:r>
            <a:rPr lang="en-CA" b="1"/>
            <a:t>business-friendly groupings</a:t>
          </a:r>
          <a:endParaRPr lang="en-CA"/>
        </a:p>
        <a:p>
          <a:r>
            <a:rPr lang="en-CA"/>
            <a:t>Enables analysis like:</a:t>
          </a:r>
        </a:p>
        <a:p>
          <a:pPr lvl="1"/>
          <a:r>
            <a:rPr lang="en-CA"/>
            <a:t>Monthly sales trend</a:t>
          </a:r>
        </a:p>
        <a:p>
          <a:pPr lvl="1"/>
          <a:r>
            <a:rPr lang="en-CA"/>
            <a:t>Weekday performance</a:t>
          </a:r>
        </a:p>
        <a:p>
          <a:r>
            <a:rPr lang="en-CA"/>
            <a:t>Improves readability for management dashboards</a:t>
          </a:r>
        </a:p>
        <a:p>
          <a:r>
            <a:rPr lang="en-CA"/>
            <a:t> Justification:</a:t>
          </a:r>
        </a:p>
        <a:p>
          <a:r>
            <a:rPr lang="en-CA"/>
            <a:t>Management decisions are time-driven, and these functions allow trend and pattern detection without altering original data.</a:t>
          </a:r>
        </a:p>
        <a:p>
          <a:br>
            <a:rPr lang="en-CA"/>
          </a:br>
          <a:endParaRPr lang="en-CA"/>
        </a:p>
        <a:p>
          <a:r>
            <a:rPr lang="en-CA" b="1"/>
            <a:t>2.</a:t>
          </a:r>
          <a:r>
            <a:rPr lang="en-CA" b="1" baseline="0"/>
            <a:t> </a:t>
          </a:r>
          <a:r>
            <a:rPr lang="en-CA" b="1"/>
            <a:t>Connecting Multiple Tables (Sales, Products, Regions)</a:t>
          </a:r>
        </a:p>
        <a:p>
          <a:r>
            <a:rPr lang="en-CA" b="1"/>
            <a:t>Approach 1: Lookup Functions (VLOOKUP / IFERROR)</a:t>
          </a:r>
        </a:p>
        <a:p>
          <a:pPr rtl="0"/>
          <a:r>
            <a:rPr lang="en-CA" sz="1100">
              <a:solidFill>
                <a:schemeClr val="dk1"/>
              </a:solidFill>
              <a:latin typeface="+mn-lt"/>
              <a:ea typeface="+mn-ea"/>
              <a:cs typeface="+mn-cs"/>
            </a:rPr>
            <a:t>=IFERROR(VLOOKUP(ProductID, Products, 2, FALSE),"Unknown")</a:t>
          </a:r>
        </a:p>
        <a:p>
          <a:r>
            <a:rPr lang="en-CA" b="1"/>
            <a:t> Approach 2: Pivot Table Relationships (Data Model)</a:t>
          </a:r>
        </a:p>
        <a:p>
          <a:r>
            <a:rPr lang="en-CA"/>
            <a:t>Create relationships using </a:t>
          </a:r>
          <a:r>
            <a:rPr lang="en-CA" b="1"/>
            <a:t>ProductID</a:t>
          </a:r>
          <a:endParaRPr lang="en-CA"/>
        </a:p>
        <a:p>
          <a:r>
            <a:rPr lang="en-CA"/>
            <a:t>Enable </a:t>
          </a:r>
          <a:r>
            <a:rPr lang="en-CA" b="1"/>
            <a:t>Add to Data Model</a:t>
          </a:r>
          <a:endParaRPr lang="en-CA"/>
        </a:p>
        <a:p>
          <a:r>
            <a:rPr lang="en-CA"/>
            <a:t>Pull fields from multiple tables into one Pivot</a:t>
          </a:r>
        </a:p>
        <a:p>
          <a:r>
            <a:rPr lang="en-CA" b="1"/>
            <a:t> Why I choose each</a:t>
          </a:r>
        </a:p>
        <a:p>
          <a:r>
            <a:rPr lang="en-CA"/>
            <a:t>MethodWhyLookup FunctionsSimple, works in all Excel versionsData ModelScalable, avoids duplicate columns</a:t>
          </a:r>
        </a:p>
        <a:p>
          <a:r>
            <a:rPr lang="en-CA"/>
            <a:t> Justification:</a:t>
          </a:r>
        </a:p>
        <a:p>
          <a:r>
            <a:rPr lang="en-CA"/>
            <a:t>Using relationships ensures data integrity and supports large datasets without redundancy.</a:t>
          </a:r>
        </a:p>
        <a:p>
          <a:br>
            <a:rPr lang="en-CA"/>
          </a:br>
          <a:endParaRPr lang="en-CA"/>
        </a:p>
        <a:p>
          <a:r>
            <a:rPr lang="en-CA" b="1"/>
            <a:t>3.</a:t>
          </a:r>
          <a:r>
            <a:rPr lang="en-CA" b="1" baseline="0"/>
            <a:t> </a:t>
          </a:r>
          <a:r>
            <a:rPr lang="en-CA" b="1"/>
            <a:t>Building Pivot Tables &amp; Pivot Charts</a:t>
          </a:r>
        </a:p>
        <a:p>
          <a:r>
            <a:rPr lang="en-CA" b="1"/>
            <a:t> Pivot Tables Used For:</a:t>
          </a:r>
        </a:p>
        <a:p>
          <a:r>
            <a:rPr lang="en-CA"/>
            <a:t>Monthly Sales Trend</a:t>
          </a:r>
        </a:p>
        <a:p>
          <a:r>
            <a:rPr lang="en-CA"/>
            <a:t>Weekday Performance</a:t>
          </a:r>
        </a:p>
        <a:p>
          <a:r>
            <a:rPr lang="en-CA"/>
            <a:t>Top 5 Products</a:t>
          </a:r>
        </a:p>
        <a:p>
          <a:r>
            <a:rPr lang="en-CA"/>
            <a:t>Sales by Category and Region</a:t>
          </a:r>
        </a:p>
        <a:p>
          <a:r>
            <a:rPr lang="en-CA" b="1"/>
            <a:t> Pivot Features Used</a:t>
          </a:r>
        </a:p>
        <a:p>
          <a:r>
            <a:rPr lang="en-CA" b="0"/>
            <a:t>Value Filters (Top 5)</a:t>
          </a:r>
        </a:p>
        <a:p>
          <a:r>
            <a:rPr lang="en-CA" b="0"/>
            <a:t>Grouping (Dates)</a:t>
          </a:r>
        </a:p>
        <a:p>
          <a:r>
            <a:rPr lang="en-CA" b="1"/>
            <a:t> Chart Types &amp; Justification</a:t>
          </a:r>
        </a:p>
        <a:p>
          <a:r>
            <a:rPr lang="en-CA"/>
            <a:t>ChartPurposeWhyLine ChartMonthly TrendShows growth/decline clearlyColumn ChartWeekday SalesEasy comparisonBar ChartTop ProductsBest for rankingsPie / DonutCategory ShareVisual contribution</a:t>
          </a:r>
        </a:p>
        <a:p>
          <a:r>
            <a:rPr lang="en-CA"/>
            <a:t>Justification:</a:t>
          </a:r>
        </a:p>
        <a:p>
          <a:r>
            <a:rPr lang="en-CA"/>
            <a:t>Pivot Charts provide real-time visualization that updates automatically when data changes.</a:t>
          </a:r>
        </a:p>
        <a:p>
          <a:br>
            <a:rPr lang="en-CA"/>
          </a:br>
          <a:r>
            <a:rPr lang="en-CA"/>
            <a:t>4.</a:t>
          </a:r>
          <a:r>
            <a:rPr lang="en-CA" baseline="0"/>
            <a:t> </a:t>
          </a:r>
          <a:r>
            <a:rPr lang="en-CA" b="1"/>
            <a:t>Creating a Dynamic Interactive Dashboard</a:t>
          </a:r>
        </a:p>
        <a:p>
          <a:r>
            <a:rPr lang="en-CA" b="1"/>
            <a:t> Tools Used</a:t>
          </a:r>
        </a:p>
        <a:p>
          <a:r>
            <a:rPr lang="en-CA" b="0"/>
            <a:t>Slicers</a:t>
          </a:r>
        </a:p>
        <a:p>
          <a:r>
            <a:rPr lang="en-CA" b="0"/>
            <a:t>Timeline Filters</a:t>
          </a:r>
        </a:p>
        <a:p>
          <a:r>
            <a:rPr lang="en-CA" b="0"/>
            <a:t>Connected Pivot Tables</a:t>
          </a:r>
        </a:p>
        <a:p>
          <a:r>
            <a:rPr lang="en-CA" b="1"/>
            <a:t> How it works</a:t>
          </a:r>
        </a:p>
        <a:p>
          <a:r>
            <a:rPr lang="en-CA"/>
            <a:t>One slicer filters </a:t>
          </a:r>
          <a:r>
            <a:rPr lang="en-CA" b="0"/>
            <a:t>multiple PivotTables</a:t>
          </a:r>
        </a:p>
        <a:p>
          <a:r>
            <a:rPr lang="en-CA"/>
            <a:t>Users can analyze by:</a:t>
          </a:r>
        </a:p>
        <a:p>
          <a:pPr lvl="1"/>
          <a:r>
            <a:rPr lang="en-CA"/>
            <a:t>Month</a:t>
          </a:r>
        </a:p>
        <a:p>
          <a:pPr lvl="1"/>
          <a:r>
            <a:rPr lang="en-CA"/>
            <a:t>Product</a:t>
          </a:r>
        </a:p>
        <a:p>
          <a:pPr lvl="1"/>
          <a:r>
            <a:rPr lang="en-CA"/>
            <a:t>Category</a:t>
          </a:r>
        </a:p>
        <a:p>
          <a:pPr lvl="1"/>
          <a:r>
            <a:rPr lang="en-CA"/>
            <a:t>Region</a:t>
          </a:r>
        </a:p>
        <a:p>
          <a:r>
            <a:rPr lang="en-CA" b="1"/>
            <a:t> Why slicers</a:t>
          </a:r>
        </a:p>
        <a:p>
          <a:r>
            <a:rPr lang="en-CA"/>
            <a:t>User-friendly</a:t>
          </a:r>
        </a:p>
        <a:p>
          <a:r>
            <a:rPr lang="en-CA"/>
            <a:t>No formula knowledge required</a:t>
          </a:r>
        </a:p>
        <a:p>
          <a:r>
            <a:rPr lang="en-CA"/>
            <a:t>Ideal for non-technical stakeholders</a:t>
          </a:r>
        </a:p>
        <a:p>
          <a:r>
            <a:rPr lang="en-CA"/>
            <a:t> Justification:</a:t>
          </a:r>
        </a:p>
        <a:p>
          <a:r>
            <a:rPr lang="en-CA"/>
            <a:t>Interactive dashboards empower management to explore data independently.</a:t>
          </a:r>
        </a:p>
        <a:p>
          <a:br>
            <a:rPr lang="en-CA"/>
          </a:br>
          <a:r>
            <a:rPr lang="en-CA"/>
            <a:t>5.</a:t>
          </a:r>
          <a:r>
            <a:rPr lang="en-CA" b="1"/>
            <a:t> Leveraging Excel AI Features (Quick Analysis / Analyze Data)</a:t>
          </a:r>
        </a:p>
        <a:p>
          <a:r>
            <a:rPr lang="en-CA" b="1"/>
            <a:t> Features Used</a:t>
          </a:r>
        </a:p>
        <a:p>
          <a:r>
            <a:rPr lang="en-CA" b="1"/>
            <a:t>Quick Analysis Tool</a:t>
          </a:r>
          <a:endParaRPr lang="en-CA"/>
        </a:p>
        <a:p>
          <a:pPr lvl="1"/>
          <a:r>
            <a:rPr lang="en-CA"/>
            <a:t>Instantly suggests charts, totals, trends</a:t>
          </a:r>
        </a:p>
        <a:p>
          <a:r>
            <a:rPr lang="en-CA" b="1"/>
            <a:t>Analyze Data (AI Analyst)</a:t>
          </a:r>
          <a:endParaRPr lang="en-CA"/>
        </a:p>
        <a:p>
          <a:pPr lvl="1"/>
          <a:r>
            <a:rPr lang="en-CA"/>
            <a:t>Generates insights like:</a:t>
          </a:r>
        </a:p>
        <a:p>
          <a:pPr lvl="2"/>
          <a:r>
            <a:rPr lang="en-CA"/>
            <a:t>“Sales peak in January”</a:t>
          </a:r>
        </a:p>
        <a:p>
          <a:pPr lvl="2"/>
          <a:r>
            <a:rPr lang="en-CA"/>
            <a:t>“Electronics contribute highest revenue”</a:t>
          </a:r>
        </a:p>
        <a:p>
          <a:r>
            <a:rPr lang="en-CA" b="1"/>
            <a:t> Why I use them</a:t>
          </a:r>
        </a:p>
        <a:p>
          <a:r>
            <a:rPr lang="en-CA"/>
            <a:t>Saves time</a:t>
          </a:r>
        </a:p>
        <a:p>
          <a:r>
            <a:rPr lang="en-CA"/>
            <a:t>Validates manual analysis</a:t>
          </a:r>
        </a:p>
        <a:p>
          <a:r>
            <a:rPr lang="en-CA"/>
            <a:t>Provides instant insights for presentations</a:t>
          </a:r>
        </a:p>
        <a:p>
          <a:r>
            <a:rPr lang="en-CA"/>
            <a:t> Justification:</a:t>
          </a:r>
        </a:p>
        <a:p>
          <a:r>
            <a:rPr lang="en-CA"/>
            <a:t>Excel AI accelerates insight generation and supports faster decision-making.</a:t>
          </a:r>
        </a:p>
        <a:p>
          <a:endParaRPr lang="en-CA"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0.762322106479" createdVersion="8" refreshedVersion="8" minRefreshableVersion="3" recordCount="5" xr:uid="{5F95071E-57F0-4E7E-B92E-1536E248CBB0}">
  <cacheSource type="worksheet">
    <worksheetSource name="Table1"/>
  </cacheSource>
  <cacheFields count="7">
    <cacheField name="Order ID" numFmtId="0">
      <sharedItems/>
    </cacheField>
    <cacheField name="Order Date" numFmtId="14">
      <sharedItems containsSemiMixedTypes="0" containsNonDate="0" containsDate="1" containsString="0" minDate="2025-01-01T00:00:00" maxDate="2025-05-05T00:00:00" count="5">
        <d v="2025-01-01T00:00:00"/>
        <d v="2025-02-02T00:00:00"/>
        <d v="2025-01-03T00:00:00"/>
        <d v="2025-05-04T00:00:00"/>
        <d v="2025-03-05T00:00:00"/>
      </sharedItems>
    </cacheField>
    <cacheField name="Product ID" numFmtId="0">
      <sharedItems/>
    </cacheField>
    <cacheField name="Quantity" numFmtId="0">
      <sharedItems containsSemiMixedTypes="0" containsString="0" containsNumber="1" containsInteger="1" minValue="1" maxValue="3"/>
    </cacheField>
    <cacheField name="Sales Amount" numFmtId="0">
      <sharedItems containsSemiMixedTypes="0" containsString="0" containsNumber="1" containsInteger="1" minValue="800" maxValue="4500"/>
    </cacheField>
    <cacheField name="Month" numFmtId="0">
      <sharedItems count="4">
        <s v="Jan-2025"/>
        <s v="Feb-2025"/>
        <s v="May-2025"/>
        <s v="Mar-2025"/>
      </sharedItems>
    </cacheField>
    <cacheField name="Weekday" numFmtId="0">
      <sharedItems count="3">
        <s v="Wednesday"/>
        <s v="Sunday"/>
        <s v="Friday"/>
      </sharedItems>
    </cacheField>
  </cacheFields>
  <extLst>
    <ext xmlns:x14="http://schemas.microsoft.com/office/spreadsheetml/2009/9/main" uri="{725AE2AE-9491-48be-B2B4-4EB974FC3084}">
      <x14:pivotCacheDefinition pivotCacheId="16883349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0.813134259261" backgroundQuery="1" createdVersion="8" refreshedVersion="8" minRefreshableVersion="3" recordCount="0" supportSubquery="1" supportAdvancedDrill="1" xr:uid="{AA926163-5D57-4041-800E-99B0528F31D7}">
  <cacheSource type="external" connectionId="1"/>
  <cacheFields count="2">
    <cacheField name="[Table6].[RegionName].[RegionName]" caption="RegionName" numFmtId="0" hierarchy="11" level="1">
      <sharedItems count="4">
        <s v="East"/>
        <s v="North"/>
        <s v="South"/>
        <s v="West"/>
      </sharedItems>
    </cacheField>
    <cacheField name="[Measures].[Sum of Sales Amount]" caption="Sum of Sales Amount" numFmtId="0" hierarchy="16" level="32767"/>
  </cacheFields>
  <cacheHierarchies count="17">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Product ID]" caption="Product ID" attribute="1" defaultMemberUniqueName="[Table1].[Product ID].[All]" allUniqueName="[Table1].[Product I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Sales Amount]" caption="Sales Amount" attribute="1" defaultMemberUniqueName="[Table1].[Sales Amount].[All]" allUniqueName="[Table1].[Sales Amount].[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cacheHierarchy uniqueName="[Table1].[Weekday]" caption="Weekday" attribute="1" defaultMemberUniqueName="[Table1].[Weekday].[All]" allUniqueName="[Table1].[Weekday].[All]" dimensionUniqueName="[Table1]" displayFolder="" count="2" memberValueDatatype="130" unbalanced="0"/>
    <cacheHierarchy uniqueName="[Table5].[Product ID]" caption="Product ID" attribute="1" defaultMemberUniqueName="[Table5].[Product ID].[All]" allUniqueName="[Table5].[Product ID].[All]" dimensionUniqueName="[Table5]" displayFolder="" count="2" memberValueDatatype="130" unbalanced="0"/>
    <cacheHierarchy uniqueName="[Table5].[Product Name]" caption="Product Name" attribute="1" defaultMemberUniqueName="[Table5].[Product Name].[All]" allUniqueName="[Table5].[Product Name].[All]" dimensionUniqueName="[Table5]" displayFolder="" count="2" memberValueDatatype="130" unbalanced="0"/>
    <cacheHierarchy uniqueName="[Table5].[Category]" caption="Category" attribute="1" defaultMemberUniqueName="[Table5].[Category].[All]" allUniqueName="[Table5].[Category].[All]" dimensionUniqueName="[Table5]" displayFolder="" count="2" memberValueDatatype="130" unbalanced="0"/>
    <cacheHierarchy uniqueName="[Table6].[RegionID]" caption="RegionID" attribute="1" defaultMemberUniqueName="[Table6].[RegionID].[All]" allUniqueName="[Table6].[RegionID].[All]" dimensionUniqueName="[Table6]" displayFolder="" count="2" memberValueDatatype="130" unbalanced="0"/>
    <cacheHierarchy uniqueName="[Table6].[RegionName]" caption="RegionName" attribute="1" defaultMemberUniqueName="[Table6].[RegionName].[All]" allUniqueName="[Table6].[RegionName].[All]" dimensionUniqueName="[Table6]"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Table1" uniqueName="[Table1]" caption="Table1"/>
    <dimension name="Table5" uniqueName="[Table5]" caption="Table5"/>
    <dimension name="Table6" uniqueName="[Table6]" caption="Table6"/>
  </dimensions>
  <measureGroups count="3">
    <measureGroup name="Table1" caption="Table1"/>
    <measureGroup name="Table5" caption="Table5"/>
    <measureGroup name="Table6" caption="Table6"/>
  </measureGroups>
  <maps count="4">
    <map measureGroup="0" dimension="1"/>
    <map measureGroup="0" dimension="2"/>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0.813135185184" backgroundQuery="1" createdVersion="8" refreshedVersion="8" minRefreshableVersion="3" recordCount="0" supportSubquery="1" supportAdvancedDrill="1" xr:uid="{E65B9BDB-D4A6-487E-BD35-646F920330A5}">
  <cacheSource type="external" connectionId="1"/>
  <cacheFields count="2">
    <cacheField name="[Table6].[RegionName].[RegionName]" caption="RegionName" numFmtId="0" hierarchy="11" level="1">
      <sharedItems count="4">
        <s v="East"/>
        <s v="North"/>
        <s v="South"/>
        <s v="West"/>
      </sharedItems>
    </cacheField>
    <cacheField name="[Measures].[Sum of Sales Amount]" caption="Sum of Sales Amount" numFmtId="0" hierarchy="16" level="32767"/>
  </cacheFields>
  <cacheHierarchies count="17">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Product ID]" caption="Product ID" attribute="1" defaultMemberUniqueName="[Table1].[Product ID].[All]" allUniqueName="[Table1].[Product I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Sales Amount]" caption="Sales Amount" attribute="1" defaultMemberUniqueName="[Table1].[Sales Amount].[All]" allUniqueName="[Table1].[Sales Amount].[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cacheHierarchy uniqueName="[Table1].[Weekday]" caption="Weekday" attribute="1" defaultMemberUniqueName="[Table1].[Weekday].[All]" allUniqueName="[Table1].[Weekday].[All]" dimensionUniqueName="[Table1]" displayFolder="" count="2" memberValueDatatype="130" unbalanced="0"/>
    <cacheHierarchy uniqueName="[Table5].[Product ID]" caption="Product ID" attribute="1" defaultMemberUniqueName="[Table5].[Product ID].[All]" allUniqueName="[Table5].[Product ID].[All]" dimensionUniqueName="[Table5]" displayFolder="" count="2" memberValueDatatype="130" unbalanced="0"/>
    <cacheHierarchy uniqueName="[Table5].[Product Name]" caption="Product Name" attribute="1" defaultMemberUniqueName="[Table5].[Product Name].[All]" allUniqueName="[Table5].[Product Name].[All]" dimensionUniqueName="[Table5]" displayFolder="" count="2" memberValueDatatype="130" unbalanced="0"/>
    <cacheHierarchy uniqueName="[Table5].[Category]" caption="Category" attribute="1" defaultMemberUniqueName="[Table5].[Category].[All]" allUniqueName="[Table5].[Category].[All]" dimensionUniqueName="[Table5]" displayFolder="" count="2" memberValueDatatype="130" unbalanced="0"/>
    <cacheHierarchy uniqueName="[Table6].[RegionID]" caption="RegionID" attribute="1" defaultMemberUniqueName="[Table6].[RegionID].[All]" allUniqueName="[Table6].[RegionID].[All]" dimensionUniqueName="[Table6]" displayFolder="" count="2" memberValueDatatype="130" unbalanced="0"/>
    <cacheHierarchy uniqueName="[Table6].[RegionName]" caption="RegionName" attribute="1" defaultMemberUniqueName="[Table6].[RegionName].[All]" allUniqueName="[Table6].[RegionName].[All]" dimensionUniqueName="[Table6]"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Table1" uniqueName="[Table1]" caption="Table1"/>
    <dimension name="Table5" uniqueName="[Table5]" caption="Table5"/>
    <dimension name="Table6" uniqueName="[Table6]" caption="Table6"/>
  </dimensions>
  <measureGroups count="3">
    <measureGroup name="Table1" caption="Table1"/>
    <measureGroup name="Table5" caption="Table5"/>
    <measureGroup name="Table6" caption="Table6"/>
  </measureGroups>
  <maps count="4">
    <map measureGroup="0" dimension="1"/>
    <map measureGroup="0" dimension="2"/>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0.808379861111" backgroundQuery="1" createdVersion="3" refreshedVersion="8" minRefreshableVersion="3" recordCount="0" supportSubquery="1" supportAdvancedDrill="1" xr:uid="{7434FCAB-B9C8-4025-84FE-725EEF09A718}">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Product ID]" caption="Product ID" attribute="1" defaultMemberUniqueName="[Table1].[Product ID].[All]" allUniqueName="[Table1].[Product 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 Amount]" caption="Sales Amount" attribute="1" defaultMemberUniqueName="[Table1].[Sales Amount].[All]" allUniqueName="[Table1].[Sales 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Weekday]" caption="Weekday" attribute="1" defaultMemberUniqueName="[Table1].[Weekday].[All]" allUniqueName="[Table1].[Weekday].[All]" dimensionUniqueName="[Table1]" displayFolder="" count="0" memberValueDatatype="130" unbalanced="0"/>
    <cacheHierarchy uniqueName="[Table5].[Product ID]" caption="Product ID" attribute="1" defaultMemberUniqueName="[Table5].[Product ID].[All]" allUniqueName="[Table5].[Product ID].[All]" dimensionUniqueName="[Table5]" displayFolder="" count="0" memberValueDatatype="130" unbalanced="0"/>
    <cacheHierarchy uniqueName="[Table5].[Product Name]" caption="Product Name" attribute="1" defaultMemberUniqueName="[Table5].[Product Name].[All]" allUniqueName="[Table5].[Product Name].[All]" dimensionUniqueName="[Table5]" displayFolder="" count="0" memberValueDatatype="130" unbalanced="0"/>
    <cacheHierarchy uniqueName="[Table5].[Category]" caption="Category" attribute="1" defaultMemberUniqueName="[Table5].[Category].[All]" allUniqueName="[Table5].[Category].[All]" dimensionUniqueName="[Table5]" displayFolder="" count="0" memberValueDatatype="130" unbalanced="0"/>
    <cacheHierarchy uniqueName="[Table6].[RegionID]" caption="RegionID" attribute="1" defaultMemberUniqueName="[Table6].[RegionID].[All]" allUniqueName="[Table6].[RegionID].[All]" dimensionUniqueName="[Table6]" displayFolder="" count="0" memberValueDatatype="130" unbalanced="0"/>
    <cacheHierarchy uniqueName="[Table6].[RegionName]" caption="RegionName" attribute="1" defaultMemberUniqueName="[Table6].[RegionName].[All]" allUniqueName="[Table6].[RegionName].[All]" dimensionUniqueName="[Table6]" displayFolder="" count="2"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76712077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O001"/>
    <x v="0"/>
    <s v="P101"/>
    <n v="2"/>
    <n v="1600"/>
    <x v="0"/>
    <x v="0"/>
  </r>
  <r>
    <s v="O002"/>
    <x v="1"/>
    <s v="P102"/>
    <n v="1"/>
    <n v="2500"/>
    <x v="1"/>
    <x v="1"/>
  </r>
  <r>
    <s v="O003"/>
    <x v="2"/>
    <s v="P103"/>
    <n v="3"/>
    <n v="4500"/>
    <x v="0"/>
    <x v="2"/>
  </r>
  <r>
    <s v="O004"/>
    <x v="3"/>
    <s v="P101"/>
    <n v="1"/>
    <n v="800"/>
    <x v="2"/>
    <x v="1"/>
  </r>
  <r>
    <s v="O005"/>
    <x v="4"/>
    <s v="P104"/>
    <n v="2"/>
    <n v="3000"/>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1E8F3F-480A-49E1-8800-E554927717C5}" name="Pivo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2:B26" firstHeaderRow="1" firstDataRow="1" firstDataCol="1"/>
  <pivotFields count="7">
    <pivotField showAll="0"/>
    <pivotField numFmtId="14" showAll="0">
      <items count="6">
        <item x="0"/>
        <item x="2"/>
        <item x="1"/>
        <item x="4"/>
        <item x="3"/>
        <item t="default"/>
      </items>
    </pivotField>
    <pivotField showAll="0"/>
    <pivotField showAll="0"/>
    <pivotField dataField="1" showAll="0"/>
    <pivotField showAll="0"/>
    <pivotField axis="axisRow" showAll="0">
      <items count="4">
        <item x="1"/>
        <item x="0"/>
        <item x="2"/>
        <item t="default"/>
      </items>
    </pivotField>
  </pivotFields>
  <rowFields count="1">
    <field x="6"/>
  </rowFields>
  <rowItems count="4">
    <i>
      <x/>
    </i>
    <i>
      <x v="1"/>
    </i>
    <i>
      <x v="2"/>
    </i>
    <i t="grand">
      <x/>
    </i>
  </rowItems>
  <colItems count="1">
    <i/>
  </colItems>
  <dataFields count="1">
    <dataField name="Sum of Sales Amount" fld="4"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19540C-0D24-40D7-8453-1E5D5A737E7D}" name="PivotTable2"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B6" firstHeaderRow="1" firstDataRow="1" firstDataCol="1"/>
  <pivotFields count="7">
    <pivotField showAll="0"/>
    <pivotField numFmtId="14" showAll="0">
      <items count="6">
        <item x="0"/>
        <item x="2"/>
        <item x="1"/>
        <item x="4"/>
        <item x="3"/>
        <item t="default"/>
      </items>
    </pivotField>
    <pivotField showAll="0"/>
    <pivotField showAll="0"/>
    <pivotField dataField="1" showAll="0"/>
    <pivotField axis="axisRow" showAll="0">
      <items count="5">
        <item x="1"/>
        <item x="0"/>
        <item x="3"/>
        <item x="2"/>
        <item t="default"/>
      </items>
    </pivotField>
    <pivotField showAll="0"/>
  </pivotFields>
  <rowFields count="1">
    <field x="5"/>
  </rowFields>
  <rowItems count="5">
    <i>
      <x/>
    </i>
    <i>
      <x v="1"/>
    </i>
    <i>
      <x v="2"/>
    </i>
    <i>
      <x v="3"/>
    </i>
    <i t="grand">
      <x/>
    </i>
  </rowItems>
  <colItems count="1">
    <i/>
  </colItems>
  <dataFields count="1">
    <dataField name="Sum of Sales Amount"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B331BD-4475-4744-BB3D-42847CE60B76}"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Amount" fld="1"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able1]"/>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BA997A-D145-48DE-8BC0-EF268746B0D8}" name="PivotTable1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7:C3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able1]"/>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27F1AC-D56C-4B9C-831D-8F380567BC7A}" name="PivotTable16"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B14:C18" firstHeaderRow="1" firstDataRow="1" firstDataCol="1"/>
  <pivotFields count="7">
    <pivotField showAll="0"/>
    <pivotField numFmtId="14" showAll="0">
      <items count="6">
        <item x="0"/>
        <item x="2"/>
        <item x="1"/>
        <item x="4"/>
        <item x="3"/>
        <item t="default"/>
      </items>
    </pivotField>
    <pivotField showAll="0"/>
    <pivotField showAll="0"/>
    <pivotField dataField="1" showAll="0"/>
    <pivotField showAll="0"/>
    <pivotField axis="axisRow" showAll="0">
      <items count="4">
        <item x="1"/>
        <item x="0"/>
        <item x="2"/>
        <item t="default"/>
      </items>
    </pivotField>
  </pivotFields>
  <rowFields count="1">
    <field x="6"/>
  </rowFields>
  <rowItems count="4">
    <i>
      <x/>
    </i>
    <i>
      <x v="1"/>
    </i>
    <i>
      <x v="2"/>
    </i>
    <i t="grand">
      <x/>
    </i>
  </rowItems>
  <colItems count="1">
    <i/>
  </colItems>
  <dataFields count="1">
    <dataField name="Sum of Sales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F8D33F-88A8-4B32-87E4-5BA956868E79}" name="PivotTable15"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C7" firstHeaderRow="1" firstDataRow="1" firstDataCol="1"/>
  <pivotFields count="7">
    <pivotField showAll="0"/>
    <pivotField numFmtId="14" showAll="0">
      <items count="6">
        <item x="0"/>
        <item x="2"/>
        <item x="1"/>
        <item x="4"/>
        <item x="3"/>
        <item t="default"/>
      </items>
    </pivotField>
    <pivotField showAll="0"/>
    <pivotField showAll="0"/>
    <pivotField dataField="1" showAll="0"/>
    <pivotField axis="axisRow" showAll="0">
      <items count="5">
        <item x="1"/>
        <item x="0"/>
        <item x="3"/>
        <item x="2"/>
        <item t="default"/>
      </items>
    </pivotField>
    <pivotField showAll="0"/>
  </pivotFields>
  <rowFields count="1">
    <field x="5"/>
  </rowFields>
  <rowItems count="5">
    <i>
      <x/>
    </i>
    <i>
      <x v="1"/>
    </i>
    <i>
      <x v="2"/>
    </i>
    <i>
      <x v="3"/>
    </i>
    <i t="grand">
      <x/>
    </i>
  </rowItems>
  <colItems count="1">
    <i/>
  </colItems>
  <dataFields count="1">
    <dataField name="Sum of Sales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Name" xr10:uid="{C2522793-A850-465B-BB0E-002EC7B7BA70}" sourceName="[Table6].[RegionName]">
  <pivotTables>
    <pivotTable tabId="14" name="PivotTable13"/>
    <pivotTable tabId="15" name="PivotTable17"/>
  </pivotTables>
  <data>
    <olap pivotCacheId="1767120774">
      <levels count="2">
        <level uniqueName="[Table6].[RegionName].[(All)]" sourceCaption="(All)" count="0"/>
        <level uniqueName="[Table6].[RegionName].[RegionName]" sourceCaption="RegionName" count="4">
          <ranges>
            <range startItem="0">
              <i n="[Table6].[RegionName].&amp;[East]" c="East"/>
              <i n="[Table6].[RegionName].&amp;[North]" c="North"/>
              <i n="[Table6].[RegionName].&amp;[South]" c="South"/>
              <i n="[Table6].[RegionName].&amp;[West]" c="West"/>
            </range>
          </ranges>
        </level>
      </levels>
      <selections count="1">
        <selection n="[Table6].[Region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Name" xr10:uid="{F66C70C8-C9AD-4501-A932-570D260A1F65}" cache="Slicer_RegionName" caption="RegionName" level="1" rowHeight="50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Name 1" xr10:uid="{5CDE47E6-B847-4745-A570-1F0D74B0FBE3}" cache="Slicer_RegionName" caption="RegionName" level="1"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F10199-F8F6-40B8-BEE7-74327F4A4A97}" name="Table1" displayName="Table1" ref="A3:G8" totalsRowShown="0" headerRowDxfId="17" dataDxfId="16">
  <autoFilter ref="A3:G8" xr:uid="{82F10199-F8F6-40B8-BEE7-74327F4A4A97}"/>
  <tableColumns count="7">
    <tableColumn id="1" xr3:uid="{6449F042-A16D-4F9E-870B-2B608FDBE08E}" name="Order ID" dataDxfId="15"/>
    <tableColumn id="2" xr3:uid="{3B396627-2009-4A9B-851D-9B2CC7DE909A}" name="Order Date" dataDxfId="14"/>
    <tableColumn id="3" xr3:uid="{2FA48661-04D0-4CE5-B14F-64194119B7D7}" name="Product ID" dataDxfId="13"/>
    <tableColumn id="4" xr3:uid="{0E68D558-8DF1-4DD8-BF5E-E525F14CB053}" name="Quantity" dataDxfId="12"/>
    <tableColumn id="5" xr3:uid="{A43E8A03-B26D-4BF7-9996-8295840AF139}" name="Sales Amount" dataDxfId="11"/>
    <tableColumn id="6" xr3:uid="{5D7AE8CE-B5E1-45D5-A46B-F2E1FFBA0CBE}" name="Month" dataDxfId="10">
      <calculatedColumnFormula>TEXT(Table1[[#This Row],[Order Date]],"MMM-YYY")</calculatedColumnFormula>
    </tableColumn>
    <tableColumn id="7" xr3:uid="{EBF0D912-9811-42C8-B538-81CAF19555CD}" name="Weekday" dataDxfId="9">
      <calculatedColumnFormula>TEXT(Table1[[#This Row],[Order Date]],"dddd")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A5934C5-99FD-4A01-91C3-451CFDF2EACD}" name="Table5" displayName="Table5" ref="A14:C19" totalsRowShown="0" headerRowDxfId="8" dataDxfId="7">
  <autoFilter ref="A14:C19" xr:uid="{5A5934C5-99FD-4A01-91C3-451CFDF2EACD}"/>
  <tableColumns count="3">
    <tableColumn id="1" xr3:uid="{B6CEFFCE-5E96-40E9-9700-C9DE428E98C6}" name="Product ID" dataDxfId="6"/>
    <tableColumn id="2" xr3:uid="{EDBB0AEE-63FC-4065-A896-E5C94DDA7818}" name="Product Name" dataDxfId="5"/>
    <tableColumn id="3" xr3:uid="{3B4BB2B5-C8D1-4069-9F37-918B1570B775}" name="Category"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E0016AB-F20D-4D36-9276-4FECDBAFBADC}" name="Table6" displayName="Table6" ref="A24:B29" totalsRowShown="0" headerRowDxfId="3" dataDxfId="2">
  <autoFilter ref="A24:B29" xr:uid="{DE0016AB-F20D-4D36-9276-4FECDBAFBADC}"/>
  <tableColumns count="2">
    <tableColumn id="1" xr3:uid="{200CB15E-B08D-4C78-BEFE-4C3DC8824A80}" name="RegionID" dataDxfId="1"/>
    <tableColumn id="2" xr3:uid="{D4620C6A-616D-48D4-87BF-051B6E1D2942}" name="Region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67CC6DB-75C9-47F4-A5E4-BE8292E0CD83}" sourceName="Order Date">
  <pivotTables>
    <pivotTable tabId="4" name="PivotTable2"/>
    <pivotTable tabId="4" name="PivotTable3"/>
    <pivotTable tabId="15" name="PivotTable15"/>
    <pivotTable tabId="15" name="PivotTable16"/>
  </pivotTables>
  <state minimalRefreshVersion="6" lastRefreshVersion="6" pivotCacheId="168833490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4100201-D2F6-47C2-8A0D-7F70576B7FEF}" cache="NativeTimeline_Order_Date" caption="Order Date" level="2" selectionLevel="2" scrollPosition="2025-01-01T00:00:00"/>
  <timeline name="Order Date 1" xr10:uid="{113A6765-2C37-4F83-A606-8E6E78823F39}" cache="NativeTimeline_Order_Date" caption="Order Date" level="3"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66EF2EBE-27D2-43BF-A9E5-CC23CF1BE9EC}" cache="NativeTimeline_Order_Date" caption="Order Date" level="2" selectionLevel="2" scrollPosition="2025-01-01T00:00:00"/>
  <timeline name="Order Date 3" xr10:uid="{255114A0-27B3-47FC-A654-89D2AADFA6FE}" cache="NativeTimeline_Order_Date" caption="Order Date" level="3" selectionLevel="2" scrollPosition="2025-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11/relationships/timeline" Target="../timelines/timeline2.xml"/><Relationship Id="rId5" Type="http://schemas.microsoft.com/office/2007/relationships/slicer" Target="../slicers/slicer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9D951-40AC-4EEE-92A4-4DF1607E93DB}">
  <dimension ref="A1:B26"/>
  <sheetViews>
    <sheetView tabSelected="1" workbookViewId="0">
      <selection activeCell="A22" sqref="A22:B26"/>
    </sheetView>
  </sheetViews>
  <sheetFormatPr defaultRowHeight="14.4" x14ac:dyDescent="0.3"/>
  <cols>
    <col min="1" max="1" width="12.5546875" bestFit="1" customWidth="1"/>
    <col min="2" max="2" width="19.21875" bestFit="1" customWidth="1"/>
  </cols>
  <sheetData>
    <row r="1" spans="1:2" x14ac:dyDescent="0.3">
      <c r="A1" s="6" t="s">
        <v>38</v>
      </c>
      <c r="B1" t="s">
        <v>37</v>
      </c>
    </row>
    <row r="2" spans="1:2" x14ac:dyDescent="0.3">
      <c r="A2" s="7" t="s">
        <v>39</v>
      </c>
      <c r="B2">
        <v>2500</v>
      </c>
    </row>
    <row r="3" spans="1:2" x14ac:dyDescent="0.3">
      <c r="A3" s="7" t="s">
        <v>40</v>
      </c>
      <c r="B3">
        <v>6100</v>
      </c>
    </row>
    <row r="4" spans="1:2" x14ac:dyDescent="0.3">
      <c r="A4" s="7" t="s">
        <v>41</v>
      </c>
      <c r="B4">
        <v>3000</v>
      </c>
    </row>
    <row r="5" spans="1:2" x14ac:dyDescent="0.3">
      <c r="A5" s="7" t="s">
        <v>42</v>
      </c>
      <c r="B5">
        <v>800</v>
      </c>
    </row>
    <row r="6" spans="1:2" x14ac:dyDescent="0.3">
      <c r="A6" s="7" t="s">
        <v>43</v>
      </c>
      <c r="B6">
        <v>12400</v>
      </c>
    </row>
    <row r="22" spans="1:2" x14ac:dyDescent="0.3">
      <c r="A22" s="6" t="s">
        <v>38</v>
      </c>
      <c r="B22" t="s">
        <v>37</v>
      </c>
    </row>
    <row r="23" spans="1:2" x14ac:dyDescent="0.3">
      <c r="A23" s="7" t="s">
        <v>44</v>
      </c>
      <c r="B23">
        <v>3300</v>
      </c>
    </row>
    <row r="24" spans="1:2" x14ac:dyDescent="0.3">
      <c r="A24" s="7" t="s">
        <v>45</v>
      </c>
      <c r="B24">
        <v>4600</v>
      </c>
    </row>
    <row r="25" spans="1:2" x14ac:dyDescent="0.3">
      <c r="A25" s="7" t="s">
        <v>46</v>
      </c>
      <c r="B25">
        <v>4500</v>
      </c>
    </row>
    <row r="26" spans="1:2" x14ac:dyDescent="0.3">
      <c r="A26" s="7" t="s">
        <v>43</v>
      </c>
      <c r="B26">
        <v>12400</v>
      </c>
    </row>
  </sheetData>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7AB58-40CA-4937-A47F-B1359D7E7C86}">
  <dimension ref="A3:B8"/>
  <sheetViews>
    <sheetView workbookViewId="0">
      <selection activeCell="A3" sqref="A3:B8"/>
    </sheetView>
  </sheetViews>
  <sheetFormatPr defaultRowHeight="14.4" x14ac:dyDescent="0.3"/>
  <cols>
    <col min="1" max="1" width="12.5546875" bestFit="1" customWidth="1"/>
    <col min="2" max="2" width="19.21875" bestFit="1" customWidth="1"/>
  </cols>
  <sheetData>
    <row r="3" spans="1:2" x14ac:dyDescent="0.3">
      <c r="A3" s="6" t="s">
        <v>38</v>
      </c>
      <c r="B3" t="s">
        <v>37</v>
      </c>
    </row>
    <row r="4" spans="1:2" x14ac:dyDescent="0.3">
      <c r="A4" s="7" t="s">
        <v>31</v>
      </c>
      <c r="B4">
        <v>12400</v>
      </c>
    </row>
    <row r="5" spans="1:2" x14ac:dyDescent="0.3">
      <c r="A5" s="7" t="s">
        <v>27</v>
      </c>
      <c r="B5">
        <v>12400</v>
      </c>
    </row>
    <row r="6" spans="1:2" x14ac:dyDescent="0.3">
      <c r="A6" s="7" t="s">
        <v>29</v>
      </c>
      <c r="B6">
        <v>12400</v>
      </c>
    </row>
    <row r="7" spans="1:2" x14ac:dyDescent="0.3">
      <c r="A7" s="7" t="s">
        <v>33</v>
      </c>
      <c r="B7">
        <v>12400</v>
      </c>
    </row>
    <row r="8" spans="1:2" x14ac:dyDescent="0.3">
      <c r="A8" s="7" t="s">
        <v>43</v>
      </c>
      <c r="B8">
        <v>12400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F2D02-8431-4986-8E8D-C61B27B39BCC}">
  <dimension ref="A2:C32"/>
  <sheetViews>
    <sheetView topLeftCell="A10" workbookViewId="0">
      <selection activeCell="J22" sqref="J22"/>
    </sheetView>
  </sheetViews>
  <sheetFormatPr defaultRowHeight="14.4" x14ac:dyDescent="0.3"/>
  <cols>
    <col min="1" max="1" width="42.5546875" style="8" customWidth="1"/>
    <col min="2" max="2" width="12.5546875" style="9" bestFit="1" customWidth="1"/>
    <col min="3" max="3" width="19.21875" style="9" bestFit="1" customWidth="1"/>
    <col min="4" max="16384" width="8.88671875" style="9"/>
  </cols>
  <sheetData>
    <row r="2" spans="2:3" x14ac:dyDescent="0.3">
      <c r="B2" s="6" t="s">
        <v>38</v>
      </c>
      <c r="C2" t="s">
        <v>37</v>
      </c>
    </row>
    <row r="3" spans="2:3" x14ac:dyDescent="0.3">
      <c r="B3" s="7" t="s">
        <v>39</v>
      </c>
      <c r="C3">
        <v>2500</v>
      </c>
    </row>
    <row r="4" spans="2:3" x14ac:dyDescent="0.3">
      <c r="B4" s="7" t="s">
        <v>40</v>
      </c>
      <c r="C4">
        <v>6100</v>
      </c>
    </row>
    <row r="5" spans="2:3" x14ac:dyDescent="0.3">
      <c r="B5" s="7" t="s">
        <v>41</v>
      </c>
      <c r="C5">
        <v>3000</v>
      </c>
    </row>
    <row r="6" spans="2:3" x14ac:dyDescent="0.3">
      <c r="B6" s="7" t="s">
        <v>42</v>
      </c>
      <c r="C6">
        <v>800</v>
      </c>
    </row>
    <row r="7" spans="2:3" x14ac:dyDescent="0.3">
      <c r="B7" s="7" t="s">
        <v>43</v>
      </c>
      <c r="C7">
        <v>12400</v>
      </c>
    </row>
    <row r="14" spans="2:3" x14ac:dyDescent="0.3">
      <c r="B14" s="6" t="s">
        <v>38</v>
      </c>
      <c r="C14" t="s">
        <v>37</v>
      </c>
    </row>
    <row r="15" spans="2:3" x14ac:dyDescent="0.3">
      <c r="B15" s="7" t="s">
        <v>44</v>
      </c>
      <c r="C15">
        <v>3300</v>
      </c>
    </row>
    <row r="16" spans="2:3" x14ac:dyDescent="0.3">
      <c r="B16" s="7" t="s">
        <v>45</v>
      </c>
      <c r="C16">
        <v>4600</v>
      </c>
    </row>
    <row r="17" spans="2:3" x14ac:dyDescent="0.3">
      <c r="B17" s="7" t="s">
        <v>46</v>
      </c>
      <c r="C17">
        <v>4500</v>
      </c>
    </row>
    <row r="18" spans="2:3" x14ac:dyDescent="0.3">
      <c r="B18" s="7" t="s">
        <v>43</v>
      </c>
      <c r="C18">
        <v>12400</v>
      </c>
    </row>
    <row r="27" spans="2:3" x14ac:dyDescent="0.3">
      <c r="B27" s="6" t="s">
        <v>38</v>
      </c>
      <c r="C27" t="s">
        <v>37</v>
      </c>
    </row>
    <row r="28" spans="2:3" x14ac:dyDescent="0.3">
      <c r="B28" s="7" t="s">
        <v>31</v>
      </c>
      <c r="C28">
        <v>12400</v>
      </c>
    </row>
    <row r="29" spans="2:3" x14ac:dyDescent="0.3">
      <c r="B29" s="7" t="s">
        <v>27</v>
      </c>
      <c r="C29">
        <v>12400</v>
      </c>
    </row>
    <row r="30" spans="2:3" x14ac:dyDescent="0.3">
      <c r="B30" s="7" t="s">
        <v>29</v>
      </c>
      <c r="C30">
        <v>12400</v>
      </c>
    </row>
    <row r="31" spans="2:3" x14ac:dyDescent="0.3">
      <c r="B31" s="7" t="s">
        <v>33</v>
      </c>
      <c r="C31">
        <v>12400</v>
      </c>
    </row>
    <row r="32" spans="2:3" x14ac:dyDescent="0.3">
      <c r="B32" s="7" t="s">
        <v>43</v>
      </c>
      <c r="C32">
        <v>12400</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7702A-50CB-4725-A611-093813D410B8}">
  <dimension ref="A1"/>
  <sheetViews>
    <sheetView workbookViewId="0">
      <selection activeCell="R8" sqref="R8"/>
    </sheetView>
  </sheetViews>
  <sheetFormatPr defaultRowHeight="14.4" x14ac:dyDescent="0.3"/>
  <cols>
    <col min="1" max="1" width="8.88671875"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C197-E47E-4460-A991-9D328F44239B}">
  <dimension ref="A1:G29"/>
  <sheetViews>
    <sheetView workbookViewId="0">
      <selection activeCell="A17" sqref="A17"/>
    </sheetView>
  </sheetViews>
  <sheetFormatPr defaultRowHeight="14.4" x14ac:dyDescent="0.3"/>
  <cols>
    <col min="1" max="1" width="11.77734375" customWidth="1"/>
    <col min="2" max="2" width="18.6640625" customWidth="1"/>
    <col min="3" max="3" width="11.77734375" customWidth="1"/>
    <col min="4" max="4" width="10.21875" customWidth="1"/>
    <col min="5" max="5" width="14.44140625" customWidth="1"/>
    <col min="6" max="6" width="10.77734375" customWidth="1"/>
    <col min="7" max="7" width="12" customWidth="1"/>
    <col min="8" max="8" width="16.6640625" customWidth="1"/>
    <col min="9" max="9" width="19.33203125" customWidth="1"/>
  </cols>
  <sheetData>
    <row r="1" spans="1:7" ht="18" x14ac:dyDescent="0.3">
      <c r="A1" s="1" t="s">
        <v>0</v>
      </c>
    </row>
    <row r="3" spans="1:7" x14ac:dyDescent="0.3">
      <c r="A3" s="2" t="s">
        <v>14</v>
      </c>
      <c r="B3" s="2" t="s">
        <v>13</v>
      </c>
      <c r="C3" s="2" t="s">
        <v>12</v>
      </c>
      <c r="D3" s="2" t="s">
        <v>1</v>
      </c>
      <c r="E3" s="2" t="s">
        <v>11</v>
      </c>
      <c r="F3" s="2" t="s">
        <v>35</v>
      </c>
      <c r="G3" s="2" t="s">
        <v>36</v>
      </c>
    </row>
    <row r="4" spans="1:7" x14ac:dyDescent="0.3">
      <c r="A4" s="3" t="s">
        <v>2</v>
      </c>
      <c r="B4" s="5">
        <v>45658</v>
      </c>
      <c r="C4" s="3" t="s">
        <v>3</v>
      </c>
      <c r="D4" s="3">
        <v>2</v>
      </c>
      <c r="E4" s="3">
        <v>1600</v>
      </c>
      <c r="F4" s="3" t="str">
        <f>TEXT(Table1[[#This Row],[Order Date]],"MMM-YYY")</f>
        <v>Jan-2025</v>
      </c>
      <c r="G4" s="3" t="str">
        <f>TEXT(Table1[[#This Row],[Order Date]],"dddd")</f>
        <v>Wednesday</v>
      </c>
    </row>
    <row r="5" spans="1:7" x14ac:dyDescent="0.3">
      <c r="A5" s="3" t="s">
        <v>4</v>
      </c>
      <c r="B5" s="5">
        <v>45690</v>
      </c>
      <c r="C5" s="3" t="s">
        <v>5</v>
      </c>
      <c r="D5" s="3">
        <v>1</v>
      </c>
      <c r="E5" s="3">
        <v>2500</v>
      </c>
      <c r="F5" s="3" t="str">
        <f>TEXT(Table1[[#This Row],[Order Date]],"MMM-YYY")</f>
        <v>Feb-2025</v>
      </c>
      <c r="G5" s="3" t="str">
        <f>TEXT(Table1[[#This Row],[Order Date]],"dddd")</f>
        <v>Sunday</v>
      </c>
    </row>
    <row r="6" spans="1:7" x14ac:dyDescent="0.3">
      <c r="A6" s="3" t="s">
        <v>6</v>
      </c>
      <c r="B6" s="5">
        <v>45660</v>
      </c>
      <c r="C6" s="3" t="s">
        <v>7</v>
      </c>
      <c r="D6" s="3">
        <v>3</v>
      </c>
      <c r="E6" s="3">
        <v>4500</v>
      </c>
      <c r="F6" s="3" t="str">
        <f>TEXT(Table1[[#This Row],[Order Date]],"MMM-YYY")</f>
        <v>Jan-2025</v>
      </c>
      <c r="G6" s="3" t="str">
        <f>TEXT(Table1[[#This Row],[Order Date]],"dddd")</f>
        <v>Friday</v>
      </c>
    </row>
    <row r="7" spans="1:7" x14ac:dyDescent="0.3">
      <c r="A7" s="3" t="s">
        <v>8</v>
      </c>
      <c r="B7" s="5">
        <v>45781</v>
      </c>
      <c r="C7" s="3" t="s">
        <v>10</v>
      </c>
      <c r="D7" s="3">
        <v>1</v>
      </c>
      <c r="E7" s="3">
        <v>800</v>
      </c>
      <c r="F7" s="3" t="str">
        <f>TEXT(Table1[[#This Row],[Order Date]],"MMM-YYY")</f>
        <v>May-2025</v>
      </c>
      <c r="G7" s="3" t="str">
        <f>TEXT(Table1[[#This Row],[Order Date]],"dddd")</f>
        <v>Sunday</v>
      </c>
    </row>
    <row r="8" spans="1:7" x14ac:dyDescent="0.3">
      <c r="A8" s="3" t="s">
        <v>9</v>
      </c>
      <c r="B8" s="5">
        <v>45721</v>
      </c>
      <c r="C8" s="3" t="s">
        <v>47</v>
      </c>
      <c r="D8" s="3">
        <v>2</v>
      </c>
      <c r="E8" s="3">
        <v>3000</v>
      </c>
      <c r="F8" s="3" t="str">
        <f>TEXT(Table1[[#This Row],[Order Date]],"MMM-YYY")</f>
        <v>Mar-2025</v>
      </c>
      <c r="G8" s="3" t="str">
        <f>TEXT(Table1[[#This Row],[Order Date]],"dddd")</f>
        <v>Wednesday</v>
      </c>
    </row>
    <row r="9" spans="1:7" x14ac:dyDescent="0.3">
      <c r="A9" s="3"/>
      <c r="B9" s="4"/>
      <c r="C9" s="3"/>
      <c r="D9" s="3"/>
      <c r="E9" s="3"/>
    </row>
    <row r="10" spans="1:7" x14ac:dyDescent="0.3">
      <c r="A10" s="3"/>
      <c r="B10" s="4"/>
      <c r="C10" s="3"/>
      <c r="D10" s="3"/>
      <c r="E10" s="3"/>
    </row>
    <row r="12" spans="1:7" ht="18" x14ac:dyDescent="0.3">
      <c r="A12" s="1" t="s">
        <v>15</v>
      </c>
    </row>
    <row r="14" spans="1:7" ht="28.8" customHeight="1" x14ac:dyDescent="0.3">
      <c r="A14" s="2" t="s">
        <v>12</v>
      </c>
      <c r="B14" s="2" t="s">
        <v>34</v>
      </c>
      <c r="C14" s="2" t="s">
        <v>16</v>
      </c>
    </row>
    <row r="15" spans="1:7" ht="28.8" customHeight="1" x14ac:dyDescent="0.3">
      <c r="A15" s="3" t="s">
        <v>3</v>
      </c>
      <c r="B15" s="3" t="s">
        <v>17</v>
      </c>
      <c r="C15" s="3" t="s">
        <v>18</v>
      </c>
    </row>
    <row r="16" spans="1:7" x14ac:dyDescent="0.3">
      <c r="A16" s="3" t="s">
        <v>5</v>
      </c>
      <c r="B16" s="3" t="s">
        <v>19</v>
      </c>
      <c r="C16" s="3" t="s">
        <v>18</v>
      </c>
    </row>
    <row r="17" spans="1:3" ht="28.8" customHeight="1" x14ac:dyDescent="0.3">
      <c r="A17" s="3" t="s">
        <v>7</v>
      </c>
      <c r="B17" s="3" t="s">
        <v>20</v>
      </c>
      <c r="C17" s="3" t="s">
        <v>21</v>
      </c>
    </row>
    <row r="18" spans="1:3" x14ac:dyDescent="0.3">
      <c r="A18" s="3" t="s">
        <v>10</v>
      </c>
      <c r="B18" s="3" t="s">
        <v>22</v>
      </c>
      <c r="C18" s="3" t="s">
        <v>21</v>
      </c>
    </row>
    <row r="19" spans="1:3" ht="28.8" x14ac:dyDescent="0.3">
      <c r="A19" s="3" t="s">
        <v>47</v>
      </c>
      <c r="B19" s="3" t="s">
        <v>48</v>
      </c>
      <c r="C19" s="3" t="s">
        <v>18</v>
      </c>
    </row>
    <row r="20" spans="1:3" x14ac:dyDescent="0.3">
      <c r="A20" s="3"/>
      <c r="B20" s="3"/>
      <c r="C20" s="3"/>
    </row>
    <row r="22" spans="1:3" ht="18" x14ac:dyDescent="0.3">
      <c r="A22" s="1" t="s">
        <v>23</v>
      </c>
    </row>
    <row r="24" spans="1:3" x14ac:dyDescent="0.3">
      <c r="A24" s="2" t="s">
        <v>24</v>
      </c>
      <c r="B24" s="2" t="s">
        <v>25</v>
      </c>
    </row>
    <row r="25" spans="1:3" x14ac:dyDescent="0.3">
      <c r="A25" s="3" t="s">
        <v>26</v>
      </c>
      <c r="B25" s="3" t="s">
        <v>27</v>
      </c>
    </row>
    <row r="26" spans="1:3" x14ac:dyDescent="0.3">
      <c r="A26" s="3" t="s">
        <v>28</v>
      </c>
      <c r="B26" s="3" t="s">
        <v>29</v>
      </c>
    </row>
    <row r="27" spans="1:3" x14ac:dyDescent="0.3">
      <c r="A27" s="3" t="s">
        <v>30</v>
      </c>
      <c r="B27" s="3" t="s">
        <v>31</v>
      </c>
    </row>
    <row r="28" spans="1:3" x14ac:dyDescent="0.3">
      <c r="A28" s="3" t="s">
        <v>32</v>
      </c>
      <c r="B28" s="3" t="s">
        <v>33</v>
      </c>
    </row>
    <row r="29" spans="1:3" x14ac:dyDescent="0.3">
      <c r="A29" s="3" t="s">
        <v>49</v>
      </c>
      <c r="B29" s="3" t="s">
        <v>29</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 1</vt:lpstr>
      <vt:lpstr>Sheet 2</vt:lpstr>
      <vt:lpstr>Dashboard</vt:lpstr>
      <vt:lpstr>Sheet1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Vinod</dc:creator>
  <cp:lastModifiedBy>Varsha Vinod</cp:lastModifiedBy>
  <dcterms:created xsi:type="dcterms:W3CDTF">2026-02-07T23:40:30Z</dcterms:created>
  <dcterms:modified xsi:type="dcterms:W3CDTF">2026-02-08T01:43:34Z</dcterms:modified>
</cp:coreProperties>
</file>