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7b5996b61f9025b/Desktop/"/>
    </mc:Choice>
  </mc:AlternateContent>
  <xr:revisionPtr revIDLastSave="0" documentId="8_{64036113-6440-42CA-9D69-BA1EB3B5E44C}" xr6:coauthVersionLast="47" xr6:coauthVersionMax="47" xr10:uidLastSave="{00000000-0000-0000-0000-000000000000}"/>
  <bookViews>
    <workbookView xWindow="-108" yWindow="-108" windowWidth="23256" windowHeight="12456" xr2:uid="{50B6C20E-7D9A-4AC3-B2B5-D1D0D77A464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7" i="1" l="1"/>
  <c r="D26" i="1"/>
  <c r="B11" i="1" l="1"/>
  <c r="B20" i="1" s="1"/>
  <c r="E20" i="1" s="1"/>
  <c r="B12" i="1"/>
  <c r="B21" i="1" s="1"/>
  <c r="E21" i="1" s="1"/>
  <c r="B13" i="1"/>
  <c r="B22" i="1" s="1"/>
  <c r="E22" i="1" s="1"/>
  <c r="B14" i="1"/>
  <c r="B23" i="1" s="1"/>
  <c r="E23" i="1" s="1"/>
  <c r="B15" i="1"/>
  <c r="B24" i="1" s="1"/>
  <c r="E24" i="1" s="1"/>
  <c r="B16" i="1"/>
  <c r="B25" i="1" s="1"/>
  <c r="E25" i="1" s="1"/>
</calcChain>
</file>

<file path=xl/sharedStrings.xml><?xml version="1.0" encoding="utf-8"?>
<sst xmlns="http://schemas.openxmlformats.org/spreadsheetml/2006/main" count="90" uniqueCount="49">
  <si>
    <t>Sale Date</t>
  </si>
  <si>
    <t>Item Description</t>
  </si>
  <si>
    <t>Revenue</t>
  </si>
  <si>
    <t>12-03-2025</t>
  </si>
  <si>
    <t>blue pen</t>
  </si>
  <si>
    <t>East_BP_01</t>
  </si>
  <si>
    <t>Blue Pen</t>
  </si>
  <si>
    <t>1.5 USD</t>
  </si>
  <si>
    <t>13-03-2025</t>
  </si>
  <si>
    <t>Notebook A5</t>
  </si>
  <si>
    <t>West_NB_05</t>
  </si>
  <si>
    <t>note book A5</t>
  </si>
  <si>
    <t>3$</t>
  </si>
  <si>
    <t>14-03-2025</t>
  </si>
  <si>
    <t>Stapler</t>
  </si>
  <si>
    <t>North_ST_02</t>
  </si>
  <si>
    <t>₹150</t>
  </si>
  <si>
    <t>stap ler</t>
  </si>
  <si>
    <t>150 INR</t>
  </si>
  <si>
    <t>Region_Product_Code</t>
  </si>
  <si>
    <t>Clean Product</t>
  </si>
  <si>
    <t>East</t>
  </si>
  <si>
    <t>West</t>
  </si>
  <si>
    <t>North</t>
  </si>
  <si>
    <t>Column1</t>
  </si>
  <si>
    <t>Column2</t>
  </si>
  <si>
    <t>Region</t>
  </si>
  <si>
    <t>East BP_01</t>
  </si>
  <si>
    <t>West NB_05</t>
  </si>
  <si>
    <t>North ST_02</t>
  </si>
  <si>
    <t>BP_01</t>
  </si>
  <si>
    <t>NB_05</t>
  </si>
  <si>
    <t>ST_02</t>
  </si>
  <si>
    <t>Mean</t>
  </si>
  <si>
    <t>Standard Error</t>
  </si>
  <si>
    <t>Median</t>
  </si>
  <si>
    <t>Mode</t>
  </si>
  <si>
    <t>Standard Deviation</t>
  </si>
  <si>
    <t>Sample Variance</t>
  </si>
  <si>
    <t>Kurtosis</t>
  </si>
  <si>
    <t>Skewness</t>
  </si>
  <si>
    <t>Range</t>
  </si>
  <si>
    <t>Minimum</t>
  </si>
  <si>
    <t>Maximum</t>
  </si>
  <si>
    <t>Sum</t>
  </si>
  <si>
    <t>Count</t>
  </si>
  <si>
    <t>SUMMARY STATISTICS</t>
  </si>
  <si>
    <t>AVERAGE=</t>
  </si>
  <si>
    <t>STANDARD DEVIATION=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</si>
</sst>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$&quot;#,##0;[Red]\-&quot;$&quot;#,##0"/>
    <numFmt numFmtId="8" formatCode="&quot;$&quot;#,##0.00;[Red]\-&quot;$&quot;#,##0.0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8" fontId="0" fillId="0" borderId="0" xfId="0" applyNumberFormat="1" applyAlignment="1">
      <alignment vertical="center" wrapText="1"/>
    </xf>
    <xf numFmtId="6" fontId="0" fillId="0" borderId="0" xfId="0" applyNumberFormat="1" applyAlignment="1">
      <alignment vertical="center" wrapText="1"/>
    </xf>
    <xf numFmtId="0" fontId="0" fillId="0" borderId="0" xfId="0" applyAlignment="1">
      <alignment horizontal="left" vertical="top" wrapText="1"/>
    </xf>
    <xf numFmtId="0" fontId="0" fillId="0" borderId="0" xfId="0" applyFill="1" applyBorder="1" applyAlignment="1"/>
    <xf numFmtId="0" fontId="0" fillId="0" borderId="1" xfId="0" applyFill="1" applyBorder="1" applyAlignment="1"/>
    <xf numFmtId="0" fontId="3" fillId="0" borderId="2" xfId="0" applyFont="1" applyFill="1" applyBorder="1" applyAlignment="1">
      <alignment horizontal="centerContinuous"/>
    </xf>
    <xf numFmtId="0" fontId="0" fillId="0" borderId="0" xfId="0" applyAlignment="1">
      <alignment horizontal="left" vertical="center" wrapText="1"/>
    </xf>
    <xf numFmtId="0" fontId="4" fillId="0" borderId="0" xfId="0" applyFont="1"/>
    <xf numFmtId="0" fontId="0" fillId="0" borderId="0" xfId="0" applyNumberFormat="1" applyAlignment="1">
      <alignment vertical="center" wrapText="1"/>
    </xf>
    <xf numFmtId="0" fontId="1" fillId="0" borderId="0" xfId="0" applyFont="1" applyAlignment="1">
      <alignment vertical="center" wrapText="1"/>
    </xf>
  </cellXfs>
  <cellStyles count="1">
    <cellStyle name="Normal" xfId="0" builtinId="0"/>
  </cellStyles>
  <dxfs count="28">
    <dxf>
      <font>
        <b/>
      </font>
      <alignment horizontal="general" vertical="center" textRotation="0" wrapText="1" indent="0" justifyLastLine="0" shrinkToFit="0" readingOrder="0"/>
    </dxf>
    <dxf>
      <numFmt numFmtId="0" formatCode="General"/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numFmt numFmtId="0" formatCode="General"/>
      <alignment horizontal="general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numFmt numFmtId="0" formatCode="General"/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numFmt numFmtId="0" formatCode="General"/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A2AE39C-1BA0-4155-A76C-C03D5EA9C4BF}" name="Table1" displayName="Table1" ref="A1:D7" totalsRowShown="0" headerRowDxfId="22" dataDxfId="23">
  <autoFilter ref="A1:D7" xr:uid="{1A2AE39C-1BA0-4155-A76C-C03D5EA9C4BF}"/>
  <tableColumns count="4">
    <tableColumn id="1" xr3:uid="{5B7E720A-00DC-4FCD-A00B-32A39626FF12}" name="Sale Date" dataDxfId="27"/>
    <tableColumn id="2" xr3:uid="{179CA40F-71BE-4BC1-B01C-01EEA200CB16}" name="Item Description" dataDxfId="26"/>
    <tableColumn id="3" xr3:uid="{A62A3E9B-8BE4-465D-9B34-0BE9A83437B7}" name="Region_Product_Code" dataDxfId="25"/>
    <tableColumn id="4" xr3:uid="{8E8D6DC1-B260-4C71-88B6-3F9BFA2692D0}" name="Revenue" dataDxfId="24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A1B7227-9C56-43A2-ABE7-E1ADE2C3C5D2}" name="Table135" displayName="Table135" ref="A19:G26" totalsRowCount="1" headerRowDxfId="15" dataDxfId="14">
  <autoFilter ref="A19:G25" xr:uid="{1A1B7227-9C56-43A2-ABE7-E1ADE2C3C5D2}"/>
  <tableColumns count="7">
    <tableColumn id="1" xr3:uid="{49245202-CEC6-46AF-89DE-ECC8D734C865}" name="Sale Date" dataDxfId="13" totalsRowDxfId="6"/>
    <tableColumn id="2" xr3:uid="{220F3D83-F5BD-4B3F-BD3E-71E92AD668C4}" name="Item Description" dataDxfId="12" totalsRowDxfId="5">
      <calculatedColumnFormula>UPPER(B11)</calculatedColumnFormula>
    </tableColumn>
    <tableColumn id="3" xr3:uid="{23B4E6E6-9F7E-4097-95A7-B94A62396201}" name="Region_Product_Code" totalsRowLabel="AVERAGE=" dataDxfId="9" totalsRowDxfId="0"/>
    <tableColumn id="10" xr3:uid="{831A4D26-D760-4175-B5C5-2EC6B67EEA9A}" name="Column1" totalsRowFunction="custom" dataDxfId="7" totalsRowDxfId="4">
      <totalsRowFormula>AVERAGE(Table135[Column1])</totalsRowFormula>
    </tableColumn>
    <tableColumn id="5" xr3:uid="{D6E5633B-FA0A-4C30-86AD-2CD3AEBF70EF}" name="Clean Product" dataDxfId="8" totalsRowDxfId="3">
      <calculatedColumnFormula>SUBSTITUTE(Table135[Item Description],"NOTE BOOK A5", "NOTEBOOK A5")</calculatedColumnFormula>
    </tableColumn>
    <tableColumn id="6" xr3:uid="{44EAE6DF-BAC2-4EFA-89E1-CA493A407C5E}" name="Region" dataDxfId="11" totalsRowDxfId="2"/>
    <tableColumn id="7" xr3:uid="{763E152A-80C0-494B-8F81-851CF1CE46AF}" name="Column2" dataDxfId="10" totalsRowDxfId="1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9C74897-8A26-4035-B693-25968D0EA7F3}" name="Table13" displayName="Table13" ref="A10:D16" totalsRowShown="0" headerRowDxfId="21" dataDxfId="20">
  <autoFilter ref="A10:D16" xr:uid="{19C74897-8A26-4035-B693-25968D0EA7F3}"/>
  <tableColumns count="4">
    <tableColumn id="1" xr3:uid="{3B838C3E-E90D-4DBD-9F46-18981F858532}" name="Sale Date" dataDxfId="19"/>
    <tableColumn id="2" xr3:uid="{88B93619-5B9F-4DCF-B7E9-FF16CE7E449B}" name="Item Description" dataDxfId="16">
      <calculatedColumnFormula>UPPER(B2)</calculatedColumnFormula>
    </tableColumn>
    <tableColumn id="3" xr3:uid="{99D5E955-436F-429D-90F5-78C3CF90C721}" name="Region_Product_Code" dataDxfId="18"/>
    <tableColumn id="4" xr3:uid="{BF1AB0C2-0DD6-4F26-A7A5-2B71C65E0039}" name="Revenue" dataDxfId="17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3C5707-8494-48E0-8FDD-5928D9D0301B}">
  <dimension ref="A1:L28"/>
  <sheetViews>
    <sheetView tabSelected="1" workbookViewId="0">
      <selection activeCell="D20" sqref="D20"/>
    </sheetView>
  </sheetViews>
  <sheetFormatPr defaultRowHeight="14.4" x14ac:dyDescent="0.3"/>
  <cols>
    <col min="1" max="1" width="12.33203125" customWidth="1"/>
    <col min="2" max="2" width="16.6640625" customWidth="1"/>
    <col min="3" max="3" width="22.33203125" bestFit="1" customWidth="1"/>
    <col min="4" max="4" width="10.6640625" customWidth="1"/>
    <col min="5" max="5" width="13.109375" bestFit="1" customWidth="1"/>
    <col min="7" max="7" width="15.5546875" customWidth="1"/>
    <col min="11" max="11" width="19.44140625" bestFit="1" customWidth="1"/>
    <col min="12" max="12" width="12" bestFit="1" customWidth="1"/>
  </cols>
  <sheetData>
    <row r="1" spans="1:12" x14ac:dyDescent="0.3">
      <c r="A1" s="1" t="s">
        <v>0</v>
      </c>
      <c r="B1" s="1" t="s">
        <v>1</v>
      </c>
      <c r="C1" s="1" t="s">
        <v>19</v>
      </c>
      <c r="D1" s="1" t="s">
        <v>2</v>
      </c>
    </row>
    <row r="2" spans="1:12" x14ac:dyDescent="0.3">
      <c r="A2" s="2" t="s">
        <v>3</v>
      </c>
      <c r="B2" s="2" t="s">
        <v>4</v>
      </c>
      <c r="C2" s="2" t="s">
        <v>5</v>
      </c>
      <c r="D2" s="3">
        <v>1.5</v>
      </c>
    </row>
    <row r="3" spans="1:12" x14ac:dyDescent="0.3">
      <c r="A3" s="2" t="s">
        <v>3</v>
      </c>
      <c r="B3" s="2" t="s">
        <v>6</v>
      </c>
      <c r="C3" s="2" t="s">
        <v>5</v>
      </c>
      <c r="D3" s="2" t="s">
        <v>7</v>
      </c>
    </row>
    <row r="4" spans="1:12" x14ac:dyDescent="0.3">
      <c r="A4" s="2" t="s">
        <v>8</v>
      </c>
      <c r="B4" s="2" t="s">
        <v>9</v>
      </c>
      <c r="C4" s="2" t="s">
        <v>10</v>
      </c>
      <c r="D4" s="3">
        <v>3</v>
      </c>
    </row>
    <row r="5" spans="1:12" x14ac:dyDescent="0.3">
      <c r="A5" s="2" t="s">
        <v>8</v>
      </c>
      <c r="B5" s="2" t="s">
        <v>11</v>
      </c>
      <c r="C5" s="2" t="s">
        <v>10</v>
      </c>
      <c r="D5" s="2" t="s">
        <v>12</v>
      </c>
    </row>
    <row r="6" spans="1:12" x14ac:dyDescent="0.3">
      <c r="A6" s="2" t="s">
        <v>13</v>
      </c>
      <c r="B6" s="2" t="s">
        <v>14</v>
      </c>
      <c r="C6" s="2" t="s">
        <v>15</v>
      </c>
      <c r="D6" s="2" t="s">
        <v>16</v>
      </c>
    </row>
    <row r="7" spans="1:12" x14ac:dyDescent="0.3">
      <c r="A7" s="2" t="s">
        <v>13</v>
      </c>
      <c r="B7" s="2" t="s">
        <v>17</v>
      </c>
      <c r="C7" s="2" t="s">
        <v>15</v>
      </c>
      <c r="D7" s="2" t="s">
        <v>18</v>
      </c>
    </row>
    <row r="10" spans="1:12" x14ac:dyDescent="0.3">
      <c r="A10" s="1" t="s">
        <v>0</v>
      </c>
      <c r="B10" s="1" t="s">
        <v>1</v>
      </c>
      <c r="C10" s="1" t="s">
        <v>19</v>
      </c>
      <c r="D10" s="1" t="s">
        <v>2</v>
      </c>
    </row>
    <row r="11" spans="1:12" x14ac:dyDescent="0.3">
      <c r="A11" s="2" t="s">
        <v>3</v>
      </c>
      <c r="B11" s="2" t="str">
        <f>UPPER(B2)</f>
        <v>BLUE PEN</v>
      </c>
      <c r="C11" s="2" t="s">
        <v>27</v>
      </c>
      <c r="D11" s="3">
        <v>1.5</v>
      </c>
    </row>
    <row r="12" spans="1:12" x14ac:dyDescent="0.3">
      <c r="A12" s="2" t="s">
        <v>3</v>
      </c>
      <c r="B12" s="2" t="str">
        <f t="shared" ref="B12:B14" si="0">UPPER(B3)</f>
        <v>BLUE PEN</v>
      </c>
      <c r="C12" s="2" t="s">
        <v>27</v>
      </c>
      <c r="D12" s="5">
        <v>1.5</v>
      </c>
      <c r="K12" s="10" t="s">
        <v>46</v>
      </c>
    </row>
    <row r="13" spans="1:12" ht="15" thickBot="1" x14ac:dyDescent="0.35">
      <c r="A13" s="2" t="s">
        <v>8</v>
      </c>
      <c r="B13" s="2" t="str">
        <f t="shared" si="0"/>
        <v>NOTEBOOK A5</v>
      </c>
      <c r="C13" s="2" t="s">
        <v>28</v>
      </c>
      <c r="D13" s="3">
        <v>3</v>
      </c>
    </row>
    <row r="14" spans="1:12" x14ac:dyDescent="0.3">
      <c r="A14" s="2" t="s">
        <v>8</v>
      </c>
      <c r="B14" s="2" t="str">
        <f t="shared" si="0"/>
        <v>NOTE BOOK A5</v>
      </c>
      <c r="C14" s="2" t="s">
        <v>28</v>
      </c>
      <c r="D14" s="4">
        <v>3</v>
      </c>
      <c r="K14" s="8" t="s">
        <v>24</v>
      </c>
      <c r="L14" s="8"/>
    </row>
    <row r="15" spans="1:12" x14ac:dyDescent="0.3">
      <c r="A15" s="2" t="s">
        <v>13</v>
      </c>
      <c r="B15" s="2" t="str">
        <f>UPPER(B6)</f>
        <v>STAPLER</v>
      </c>
      <c r="C15" s="2" t="s">
        <v>29</v>
      </c>
      <c r="D15" s="5">
        <v>150</v>
      </c>
      <c r="K15" s="6"/>
      <c r="L15" s="6"/>
    </row>
    <row r="16" spans="1:12" x14ac:dyDescent="0.3">
      <c r="A16" s="2" t="s">
        <v>13</v>
      </c>
      <c r="B16" s="2" t="str">
        <f>UPPER(B7)</f>
        <v>STAP LER</v>
      </c>
      <c r="C16" s="2" t="s">
        <v>29</v>
      </c>
      <c r="D16" s="4">
        <v>150</v>
      </c>
      <c r="K16" s="6" t="s">
        <v>33</v>
      </c>
      <c r="L16" s="6">
        <v>51.5</v>
      </c>
    </row>
    <row r="17" spans="1:12" x14ac:dyDescent="0.3">
      <c r="K17" s="6" t="s">
        <v>34</v>
      </c>
      <c r="L17" s="6">
        <v>31.149638842208109</v>
      </c>
    </row>
    <row r="18" spans="1:12" x14ac:dyDescent="0.3">
      <c r="K18" s="6" t="s">
        <v>35</v>
      </c>
      <c r="L18" s="6">
        <v>3</v>
      </c>
    </row>
    <row r="19" spans="1:12" x14ac:dyDescent="0.3">
      <c r="A19" s="1" t="s">
        <v>0</v>
      </c>
      <c r="B19" s="1" t="s">
        <v>1</v>
      </c>
      <c r="C19" s="1" t="s">
        <v>19</v>
      </c>
      <c r="D19" s="1" t="s">
        <v>24</v>
      </c>
      <c r="E19" s="1" t="s">
        <v>20</v>
      </c>
      <c r="F19" s="1" t="s">
        <v>26</v>
      </c>
      <c r="G19" s="1" t="s">
        <v>25</v>
      </c>
      <c r="K19" s="6" t="s">
        <v>36</v>
      </c>
      <c r="L19" s="6">
        <v>1.5</v>
      </c>
    </row>
    <row r="20" spans="1:12" x14ac:dyDescent="0.3">
      <c r="A20" s="2" t="s">
        <v>3</v>
      </c>
      <c r="B20" s="2" t="str">
        <f>UPPER(B11)</f>
        <v>BLUE PEN</v>
      </c>
      <c r="C20" s="2" t="s">
        <v>5</v>
      </c>
      <c r="D20" s="9">
        <v>1.5</v>
      </c>
      <c r="E20" s="2" t="str">
        <f>SUBSTITUTE(Table135[Item Description],"NOTE BOOK A5", "NOTEBOOK A5")</f>
        <v>BLUE PEN</v>
      </c>
      <c r="F20" s="2" t="s">
        <v>21</v>
      </c>
      <c r="G20" s="2" t="s">
        <v>30</v>
      </c>
      <c r="K20" s="6" t="s">
        <v>37</v>
      </c>
      <c r="L20" s="6">
        <v>76.300720835389228</v>
      </c>
    </row>
    <row r="21" spans="1:12" x14ac:dyDescent="0.3">
      <c r="A21" s="2" t="s">
        <v>3</v>
      </c>
      <c r="B21" s="2" t="str">
        <f>UPPER(B12)</f>
        <v>BLUE PEN</v>
      </c>
      <c r="C21" s="2" t="s">
        <v>5</v>
      </c>
      <c r="D21" s="9">
        <v>1.5</v>
      </c>
      <c r="E21" s="2" t="str">
        <f>SUBSTITUTE(Table135[Item Description],"NOTE BOOK A5", "NOTEBOOK A5")</f>
        <v>BLUE PEN</v>
      </c>
      <c r="F21" s="2" t="s">
        <v>21</v>
      </c>
      <c r="G21" s="2" t="s">
        <v>30</v>
      </c>
      <c r="K21" s="6" t="s">
        <v>38</v>
      </c>
      <c r="L21" s="6">
        <v>5821.8</v>
      </c>
    </row>
    <row r="22" spans="1:12" x14ac:dyDescent="0.3">
      <c r="A22" s="2" t="s">
        <v>8</v>
      </c>
      <c r="B22" s="2" t="str">
        <f>UPPER(B13)</f>
        <v>NOTEBOOK A5</v>
      </c>
      <c r="C22" s="2" t="s">
        <v>10</v>
      </c>
      <c r="D22" s="9">
        <v>3</v>
      </c>
      <c r="E22" s="2" t="str">
        <f>SUBSTITUTE(Table135[Item Description],"NOTE BOOK A5", "NOTEBOOK A5")</f>
        <v>NOTEBOOK A5</v>
      </c>
      <c r="F22" s="2" t="s">
        <v>22</v>
      </c>
      <c r="G22" s="2" t="s">
        <v>31</v>
      </c>
      <c r="K22" s="6" t="s">
        <v>39</v>
      </c>
      <c r="L22" s="6">
        <v>-1.8749999999999991</v>
      </c>
    </row>
    <row r="23" spans="1:12" x14ac:dyDescent="0.3">
      <c r="A23" s="2" t="s">
        <v>8</v>
      </c>
      <c r="B23" s="2" t="str">
        <f>UPPER(B14)</f>
        <v>NOTE BOOK A5</v>
      </c>
      <c r="C23" s="2" t="s">
        <v>10</v>
      </c>
      <c r="D23" s="9">
        <v>3</v>
      </c>
      <c r="E23" s="2" t="str">
        <f>SUBSTITUTE(Table135[Item Description],"NOTE BOOK A5", "NOTEBOOK A5")</f>
        <v>NOTEBOOK A5</v>
      </c>
      <c r="F23" s="2" t="s">
        <v>22</v>
      </c>
      <c r="G23" s="2" t="s">
        <v>31</v>
      </c>
      <c r="K23" s="6" t="s">
        <v>40</v>
      </c>
      <c r="L23" s="6">
        <v>0.96790906189958215</v>
      </c>
    </row>
    <row r="24" spans="1:12" x14ac:dyDescent="0.3">
      <c r="A24" s="2" t="s">
        <v>13</v>
      </c>
      <c r="B24" s="2" t="str">
        <f>UPPER(B15)</f>
        <v>STAPLER</v>
      </c>
      <c r="C24" s="2" t="s">
        <v>15</v>
      </c>
      <c r="D24" s="9">
        <v>150</v>
      </c>
      <c r="E24" s="2" t="str">
        <f>SUBSTITUTE(Table135[Item Description],"NOTE BOOK A5", "NOTEBOOK A5")</f>
        <v>STAPLER</v>
      </c>
      <c r="F24" s="2" t="s">
        <v>23</v>
      </c>
      <c r="G24" s="2" t="s">
        <v>32</v>
      </c>
      <c r="K24" s="6" t="s">
        <v>41</v>
      </c>
      <c r="L24" s="6">
        <v>148.5</v>
      </c>
    </row>
    <row r="25" spans="1:12" x14ac:dyDescent="0.3">
      <c r="A25" s="2" t="s">
        <v>13</v>
      </c>
      <c r="B25" s="2" t="str">
        <f>UPPER(B16)</f>
        <v>STAP LER</v>
      </c>
      <c r="C25" s="2" t="s">
        <v>15</v>
      </c>
      <c r="D25" s="9">
        <v>150</v>
      </c>
      <c r="E25" s="2" t="str">
        <f>SUBSTITUTE(Table135[Item Description],"STAP LER", "STAPLER")</f>
        <v>STAPLER</v>
      </c>
      <c r="F25" s="2" t="s">
        <v>23</v>
      </c>
      <c r="G25" s="2" t="s">
        <v>32</v>
      </c>
      <c r="K25" s="6" t="s">
        <v>42</v>
      </c>
      <c r="L25" s="6">
        <v>1.5</v>
      </c>
    </row>
    <row r="26" spans="1:12" x14ac:dyDescent="0.3">
      <c r="A26" s="2"/>
      <c r="B26" s="2"/>
      <c r="C26" s="12" t="s">
        <v>47</v>
      </c>
      <c r="D26" s="9">
        <f>AVERAGE(Table135[Column1])</f>
        <v>51.5</v>
      </c>
      <c r="E26" s="11"/>
      <c r="F26" s="2"/>
      <c r="G26" s="11"/>
      <c r="K26" s="6" t="s">
        <v>43</v>
      </c>
      <c r="L26" s="6">
        <v>150</v>
      </c>
    </row>
    <row r="27" spans="1:12" x14ac:dyDescent="0.3">
      <c r="C27" t="s">
        <v>48</v>
      </c>
      <c r="D27">
        <f>STDEV(Table135[Column1])</f>
        <v>76.300720835389228</v>
      </c>
      <c r="K27" s="6" t="s">
        <v>44</v>
      </c>
      <c r="L27" s="6">
        <v>309</v>
      </c>
    </row>
    <row r="28" spans="1:12" ht="15" thickBot="1" x14ac:dyDescent="0.35">
      <c r="K28" s="7" t="s">
        <v>45</v>
      </c>
      <c r="L28" s="7">
        <v>6</v>
      </c>
    </row>
  </sheetData>
  <phoneticPr fontId="2" type="noConversion"/>
  <pageMargins left="0.7" right="0.7" top="0.75" bottom="0.75" header="0.3" footer="0.3"/>
  <ignoredErrors>
    <ignoredError sqref="E25" calculatedColumn="1"/>
  </ignoredErrors>
  <tableParts count="3">
    <tablePart r:id="rId1"/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Varsha Vinod</dc:creator>
  <cp:lastModifiedBy>Varsha Vinod</cp:lastModifiedBy>
  <dcterms:created xsi:type="dcterms:W3CDTF">2026-02-01T04:08:56Z</dcterms:created>
  <dcterms:modified xsi:type="dcterms:W3CDTF">2026-02-01T06:54:23Z</dcterms:modified>
</cp:coreProperties>
</file>